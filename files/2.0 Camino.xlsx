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" sheetId="1" r:id="rId4"/>
    <sheet state="visible" name="Things" sheetId="2" r:id="rId5"/>
    <sheet state="visible" name="Budget " sheetId="3" r:id="rId6"/>
    <sheet state="visible" name="Check list" sheetId="4" r:id="rId7"/>
    <sheet state="visible" name="LINK" sheetId="5" r:id="rId8"/>
    <sheet state="visible" name="кросівки" sheetId="6" r:id="rId9"/>
  </sheets>
  <definedNames/>
  <calcPr/>
  <extLst>
    <ext uri="GoogleSheetsCustomDataVersion2">
      <go:sheetsCustomData xmlns:go="http://customooxmlschemas.google.com/" r:id="rId10" roundtripDataChecksum="qDW8ErxXsXwcHNTT8CRH5XJKGZ8abp0t4sIc0DOZEW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ID#AAAB6DFmn00
Yevhen Srind    (2026-05-10 20:13:07)
може цю частину проїхати?</t>
      </text>
    </comment>
  </commentList>
  <extLst>
    <ext uri="GoogleSheetsCustomDataVersion2">
      <go:sheetsCustomData xmlns:go="http://customooxmlschemas.google.com/" r:id="rId1" roundtripDataSignature="AMtx7mjZe5MYDHI8luB8L6PDIKjXywLFF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ID#AAAB6DFmn04
Yevhen Srind    (2026-05-10 20:14:11)
палки такі замовити</t>
      </text>
    </comment>
  </commentList>
  <extLst>
    <ext uri="GoogleSheetsCustomDataVersion2">
      <go:sheetsCustomData xmlns:go="http://customooxmlschemas.google.com/" r:id="rId1" roundtripDataSignature="AMtx7mjYPeZhIolRxlYXfKXzztzq8e/Hug=="/>
    </ext>
  </extLst>
</comments>
</file>

<file path=xl/sharedStrings.xml><?xml version="1.0" encoding="utf-8"?>
<sst xmlns="http://schemas.openxmlformats.org/spreadsheetml/2006/main" count="333" uniqueCount="301">
  <si>
    <t>📍 Camino Português da Costa</t>
  </si>
  <si>
    <t>Альберге</t>
  </si>
  <si>
    <t xml:space="preserve">Что посмотреть </t>
  </si>
  <si>
    <t>Печать</t>
  </si>
  <si>
    <t>Дата</t>
  </si>
  <si>
    <t>Этап</t>
  </si>
  <si>
    <t>Км офиц.</t>
  </si>
  <si>
    <t>Описание</t>
  </si>
  <si>
    <t>€/чел</t>
  </si>
  <si>
    <t>Место</t>
  </si>
  <si>
    <t>Почему интересна</t>
  </si>
  <si>
    <t>11.07</t>
  </si>
  <si>
    <t>Portu — день прилета</t>
  </si>
  <si>
    <t>Привет Океан</t>
  </si>
  <si>
    <t>Best Guest Porto Hostel</t>
  </si>
  <si>
    <t>Albergue de Peregrinos Porto</t>
  </si>
  <si>
    <t>Livraria Lello</t>
  </si>
  <si>
    <t>Foz do Douro</t>
  </si>
  <si>
    <t>Ponte Luís I</t>
  </si>
  <si>
    <t>Кафедральный собор Порту</t>
  </si>
  <si>
    <t xml:space="preserve">Выдают Credential (2€) + первая печать. ОБЯЗАТЕЛЬНО </t>
  </si>
  <si>
    <t>12.07</t>
  </si>
  <si>
    <t>День в Порту (свободный)</t>
  </si>
  <si>
    <t>Весь день по набережной и пляжам</t>
  </si>
  <si>
    <t xml:space="preserve">Matosinhos </t>
  </si>
  <si>
    <t>Jardins do Palácio de Cristal</t>
  </si>
  <si>
    <t xml:space="preserve"> Mercado do Bolhão </t>
  </si>
  <si>
    <t>13.07</t>
  </si>
  <si>
    <t>Portu → Vila do Conde</t>
  </si>
  <si>
    <t>28</t>
  </si>
  <si>
    <t xml:space="preserve">Весь день по набережной и пляжам Matosinhos. </t>
  </si>
  <si>
    <t>Albergue de Peregrinos do Mosteiro de Vairão</t>
  </si>
  <si>
    <t>Albergue de Peregrinos São José de Ribamar</t>
  </si>
  <si>
    <t>Igreja e Mosteiro de Santa Clara</t>
  </si>
  <si>
    <t>Nau Quinhentista</t>
  </si>
  <si>
    <t>Уникальная морская печать  символ эпохи Великих открытий</t>
  </si>
  <si>
    <t>Mosteiro de Santa Clara</t>
  </si>
  <si>
    <t>Монастырь XIV века - редкая готическая печать</t>
  </si>
  <si>
    <t>14.07</t>
  </si>
  <si>
    <t>Vila do Conde → Esposende</t>
  </si>
  <si>
    <t>23</t>
  </si>
  <si>
    <t>Boardwalk вдоль пляжей, частично по берегу</t>
  </si>
  <si>
    <t>Albergue de Peregrinos de Marinhas</t>
  </si>
  <si>
    <t>Igreja Matriz de Esposende</t>
  </si>
  <si>
    <t>Aqueduto de Santa Clara</t>
  </si>
  <si>
    <t>Маленькие города дают самые колоритные печати</t>
  </si>
  <si>
    <t>15.07</t>
  </si>
  <si>
    <t>Esposende → Viana do Castelo</t>
  </si>
  <si>
    <t>25</t>
  </si>
  <si>
    <t>Маршрут уходит внутрь страны</t>
  </si>
  <si>
    <t>Albergue S. João dos Caminhos (церковь)</t>
  </si>
  <si>
    <t>Albergue de Santa Luzia</t>
  </si>
  <si>
    <t xml:space="preserve"> 
Monte Sta Luzia </t>
  </si>
  <si>
    <t>Santuário do Sagrado Coração de Jesus</t>
  </si>
  <si>
    <t>Вид на город и океан — одна из красивейших остановок</t>
  </si>
  <si>
    <t>Câmara Municipal (мэрия)</t>
  </si>
  <si>
    <t>Официальная печать с гербом города</t>
  </si>
  <si>
    <t>16.07</t>
  </si>
  <si>
    <t>Viana do Castelo → Caminha</t>
  </si>
  <si>
    <t>27</t>
  </si>
  <si>
    <t>Короткие выходы у Vila Praia de Âncora</t>
  </si>
  <si>
    <t>Albergue Municipal Caminha (у океана)</t>
  </si>
  <si>
    <t>Public Pilgrims Hostel of A Guarda</t>
  </si>
  <si>
    <t>ПАРОМ В ИСПАНИЮ отсюда!</t>
  </si>
  <si>
    <t>Santuário de Santa Luzia</t>
  </si>
  <si>
    <t>Chafariz de Caminha</t>
  </si>
  <si>
    <t>Caminha Main Church</t>
  </si>
  <si>
    <t>XV век — прямо у площади с фонтаном</t>
  </si>
  <si>
    <t>Паромная компания</t>
  </si>
  <si>
    <t>Паром через Миньо - попросите печать! Редкость</t>
  </si>
  <si>
    <t>17.07</t>
  </si>
  <si>
    <t>Caminha → A Guarda → Baiona</t>
  </si>
  <si>
    <t>32</t>
  </si>
  <si>
    <t>паром  устье реки Миньо.  
Галисии  красивый участок маршрута!</t>
  </si>
  <si>
    <t>чистенько 15 евро</t>
  </si>
  <si>
    <t xml:space="preserve">на берегу - 18 евро </t>
  </si>
  <si>
    <t>Castro de Santa Tegra</t>
  </si>
  <si>
    <t>Fortaleza de Monterreal</t>
  </si>
  <si>
    <t>Réplica da Carabela La Pinta</t>
  </si>
  <si>
    <t>Кельтское городище II в. до н.э.  экзотическая печать</t>
  </si>
  <si>
    <t>пляж Praia América</t>
  </si>
  <si>
    <t xml:space="preserve">Здесь узнали о Новом Свете </t>
  </si>
  <si>
    <t>Réplica da Carabela A Pinta</t>
  </si>
  <si>
    <t>Копия корабля Колумба. Такой печати нет нигде в мире</t>
  </si>
  <si>
    <t>18.07</t>
  </si>
  <si>
    <t>Baiona → Vigo</t>
  </si>
  <si>
    <t>26</t>
  </si>
  <si>
    <t>далеко от центра 10 евро</t>
  </si>
  <si>
    <t xml:space="preserve">в центре 15 евро </t>
  </si>
  <si>
    <t>Basílica de Santa María la Mayor</t>
  </si>
  <si>
    <t>Начало последних 100 км — важная отметка для Compostela</t>
  </si>
  <si>
    <t>19.07</t>
  </si>
  <si>
    <t>Vigo → Redondela</t>
  </si>
  <si>
    <t>16</t>
  </si>
  <si>
    <t>Леса, деревни</t>
  </si>
  <si>
    <t>Albergue de peregrinos Casa da Torre</t>
  </si>
  <si>
    <t>Viaduto de Pontevedra</t>
  </si>
  <si>
    <t>Alameda Castelao</t>
  </si>
  <si>
    <t>Igrexa de Santiago de Redondela</t>
  </si>
  <si>
    <t>Слияние Прибрежного и Центрального маршрутов</t>
  </si>
  <si>
    <t>20.07</t>
  </si>
  <si>
    <t>Redondela → Pontevedra</t>
  </si>
  <si>
    <t>20</t>
  </si>
  <si>
    <t xml:space="preserve">Леса, деревни, </t>
  </si>
  <si>
    <t>ACOLÁ hostel</t>
  </si>
  <si>
    <t>Хочу сюда</t>
  </si>
  <si>
    <t>Ponte do Burgo</t>
  </si>
  <si>
    <t>Plaza da Leña</t>
  </si>
  <si>
    <t>Ottone Pontevedra</t>
  </si>
  <si>
    <t>Iglesia de Santa María la Mayor</t>
  </si>
  <si>
    <t xml:space="preserve">Красивейшая готика Галисии </t>
  </si>
  <si>
    <t>21.07</t>
  </si>
  <si>
    <t>Pontevedra → Caldas de Reis</t>
  </si>
  <si>
    <t>21</t>
  </si>
  <si>
    <t>Albergue Público de Peregrinos de Caldas de Reis</t>
  </si>
  <si>
    <t>Iglesia de Santo Tomás Becket</t>
  </si>
  <si>
    <t>Fonte das Burgas</t>
  </si>
  <si>
    <t>Попросите печать в алберге у источника</t>
  </si>
  <si>
    <t>22.07</t>
  </si>
  <si>
    <t>Caldas → Padrón</t>
  </si>
  <si>
    <t>19</t>
  </si>
  <si>
    <t>Albergue Municipal Padrón</t>
  </si>
  <si>
    <t>Iglesia de Santiago de Padrón</t>
  </si>
  <si>
    <t>Santiaguiño do Monte - маленьке місце паломників, мало хто знає.</t>
  </si>
  <si>
    <t>Здесь по легенде прибыли мощи св.Якова. Одна из главных!</t>
  </si>
  <si>
    <t>23.07</t>
  </si>
  <si>
    <t>Padrón → Santiago</t>
  </si>
  <si>
    <t>24</t>
  </si>
  <si>
    <t>Красивый возле собора 24 евро</t>
  </si>
  <si>
    <t>огромный 10 евро</t>
  </si>
  <si>
    <t>Catedral de Santiago de Compostela</t>
  </si>
  <si>
    <t>Parque da Alameda</t>
  </si>
  <si>
    <t>Mercado de Abastos</t>
  </si>
  <si>
    <t>Pilgrim's Reception Office</t>
  </si>
  <si>
    <t>Апостол Сантьяго  последняя печать перед Compostela</t>
  </si>
  <si>
    <t>Автобус→Fisterra +
Возврат Fisterra→Santiago</t>
  </si>
  <si>
    <t xml:space="preserve">Конец света! </t>
  </si>
  <si>
    <t>Faro de Fisterra</t>
  </si>
  <si>
    <t>захід сонця на маяку - одна з головних причин туди їхати.</t>
  </si>
  <si>
    <t>Faro de Fisterra (маяк)</t>
  </si>
  <si>
    <t>Самая западная точка. Уникальный штемпель маяка</t>
  </si>
  <si>
    <t>Santiago→Порту→Бухарест</t>
  </si>
  <si>
    <t>Всего</t>
  </si>
  <si>
    <t>Микола</t>
  </si>
  <si>
    <t>Олекса</t>
  </si>
  <si>
    <t>Ганна</t>
  </si>
  <si>
    <t>Євген</t>
  </si>
  <si>
    <t>Комментарі</t>
  </si>
  <si>
    <t>Квитки</t>
  </si>
  <si>
    <t>Рюкзак</t>
  </si>
  <si>
    <t>Pinguin Fly 35</t>
  </si>
  <si>
    <t>Osprey Exos 34</t>
  </si>
  <si>
    <t>Forclaz40AIR</t>
  </si>
  <si>
    <t>Osprey Hikelite 28</t>
  </si>
  <si>
    <t>Osprey Sirrus 36</t>
  </si>
  <si>
    <t>Osprey Tempest 33</t>
  </si>
  <si>
    <t>Osprey Talon 33</t>
  </si>
  <si>
    <t>Deuter Trail 30</t>
  </si>
  <si>
    <t>https://leobox.ua/riukzak-pentagram-30-l-karkasna-spynka-dlia-turyzmu-velosportu-ta-mista-biriuzovyi-peacock-blue/</t>
  </si>
  <si>
    <t>Кросівки для трейлранінгу</t>
  </si>
  <si>
    <r>
      <rPr>
        <rFont val="Calibri"/>
        <color theme="1"/>
        <sz val="11.0"/>
      </rPr>
      <t xml:space="preserve">Evadict MT Cushion 2 | Quechua FH500 fast hiking | Evadict Race Light(для Саші) | </t>
    </r>
    <r>
      <rPr>
        <rFont val="Calibri"/>
        <b/>
        <i/>
        <color theme="1"/>
        <sz val="11.0"/>
      </rPr>
      <t>Hoka Speedgoat 5</t>
    </r>
    <r>
      <rPr>
        <rFont val="Calibri"/>
        <color theme="1"/>
        <sz val="11.0"/>
      </rPr>
      <t xml:space="preserve"> |Hoka Challenger 7 | Hoka Anacapa Breeze Low | Salomon ultra glide 2</t>
    </r>
  </si>
  <si>
    <t>Дождевик-пончо</t>
  </si>
  <si>
    <t>https://www.decathlon.ro/toate-sporturile/drumetie-trekking/poncho-si-huse-impermeabile</t>
  </si>
  <si>
    <t>Трекінгові палиці</t>
  </si>
  <si>
    <t>КУПИМО В ПОРТО</t>
  </si>
  <si>
    <t>хлопчики - Forclaz MT500 Hiking Pole</t>
  </si>
  <si>
    <t>жіночка - Forclaz MT100 Comfort</t>
  </si>
  <si>
    <t>дівчинка - Forclaz MT100 Junior</t>
  </si>
  <si>
    <t>Linen у Спальный мішок</t>
  </si>
  <si>
    <t>Шлепанцы</t>
  </si>
  <si>
    <t>Футболка 2шт (Синтетика чи Мерінос)</t>
  </si>
  <si>
    <t>Quechua MH100</t>
  </si>
  <si>
    <t>https://www.decathlon.ro/p/camasa-cu-maneca-scurta-pentru-drumetie-nh100-bej-barbati/_/R-p-337820?mc=8969134&amp;c=BEJ</t>
  </si>
  <si>
    <t>Сорочка UPF</t>
  </si>
  <si>
    <t>https://www.decathlon.ro/p/camasa-cu-maneci-lungi-anti-uv-travel-900-stretch-gri-barbati/_/R-p-349746?mc=8826045&amp;c=GRI</t>
  </si>
  <si>
    <t>Фліска</t>
  </si>
  <si>
    <t>Шорти</t>
  </si>
  <si>
    <t>Спортивки</t>
  </si>
  <si>
    <t>Нижнее белье 2 пари</t>
  </si>
  <si>
    <t>Шкарпетки  (wrightstock)(мерінос)</t>
  </si>
  <si>
    <r>
      <rPr>
        <rFont val="Calibri"/>
        <color theme="1"/>
        <sz val="11.0"/>
      </rPr>
      <t xml:space="preserve">Forclaz MT900 anti-blister </t>
    </r>
    <r>
      <rPr>
        <rFont val="Calibri"/>
        <b/>
        <color theme="1"/>
        <sz val="11.0"/>
      </rPr>
      <t>|</t>
    </r>
    <r>
      <rPr>
        <rFont val="Calibri"/>
        <color theme="1"/>
        <sz val="11.0"/>
      </rPr>
      <t xml:space="preserve"> Forclaz MT500 Fresh </t>
    </r>
    <r>
      <rPr>
        <rFont val="Calibri"/>
        <b/>
        <color theme="1"/>
        <sz val="11.0"/>
      </rPr>
      <t>|</t>
    </r>
    <r>
      <rPr>
        <rFont val="Calibri"/>
        <color theme="1"/>
        <sz val="11.0"/>
      </rPr>
      <t xml:space="preserve"> Darn ToughLight hiker MicroCrew </t>
    </r>
    <r>
      <rPr>
        <rFont val="Calibri"/>
        <b/>
        <color theme="1"/>
        <sz val="11.0"/>
      </rPr>
      <t>|</t>
    </r>
    <r>
      <rPr>
        <rFont val="Calibri"/>
        <color theme="1"/>
        <sz val="11.0"/>
      </rPr>
      <t xml:space="preserve"> Smartwool PhD Outdoor Light</t>
    </r>
  </si>
  <si>
    <t>Свитшот/вітровка/фліска</t>
  </si>
  <si>
    <t>Окуляри (захист рівень 3)</t>
  </si>
  <si>
    <t>Кепка / Панамка</t>
  </si>
  <si>
    <t>Бананка</t>
  </si>
  <si>
    <t>Шопер</t>
  </si>
  <si>
    <t>Баф</t>
  </si>
  <si>
    <t>Купальники</t>
  </si>
  <si>
    <t>рушник мікрофібра</t>
  </si>
  <si>
    <t>Щітка зубна, паста</t>
  </si>
  <si>
    <t>Шампунь</t>
  </si>
  <si>
    <t>Туалетная бумага</t>
  </si>
  <si>
    <t>Салфетки</t>
  </si>
  <si>
    <t>Бутылки  для воды. Пластік 1л</t>
  </si>
  <si>
    <t>https://www.decathlon.ro/p/mp/safe4sport/soft-flask-sticla-de-apa-flexibila-pentru-alergare-500-ml/_/R-p-247fd876-63e0-4225-bc1c-98a2430442bc</t>
  </si>
  <si>
    <t>Кружка, миска, ложки????</t>
  </si>
  <si>
    <t>Чи треба?</t>
  </si>
  <si>
    <t>Солнцезащитный крем  SPF50</t>
  </si>
  <si>
    <t>Антифрикційний крем, стік, від натирання</t>
  </si>
  <si>
    <t>пластирь Compeed чи Urgo</t>
  </si>
  <si>
    <t>https://www.decathlon.pt/p/mp/compeed-ampollas-extreme-5-ud/1db22bb1-cb4e-4c23-99a0-9b38e4114f4e/novar</t>
  </si>
  <si>
    <t>аптечка (пластыри, антисептик, обезболивающие, противовоспалительные средства, желудочные, вазелін)</t>
  </si>
  <si>
    <t>електроліти</t>
  </si>
  <si>
    <t>документы</t>
  </si>
  <si>
    <t>картки</t>
  </si>
  <si>
    <t>готівка</t>
  </si>
  <si>
    <t>Ліхтарик</t>
  </si>
  <si>
    <t>Мобильный телефон</t>
  </si>
  <si>
    <t>зарядное устройство</t>
  </si>
  <si>
    <t>powerbank</t>
  </si>
  <si>
    <t>прищепки(сушити одяг на рюкзаку)</t>
  </si>
  <si>
    <t>Маска для сну</t>
  </si>
  <si>
    <t>Беруші</t>
  </si>
  <si>
    <t xml:space="preserve">у Жені є </t>
  </si>
  <si>
    <t>Мийний засіб</t>
  </si>
  <si>
    <t>Запальничка</t>
  </si>
  <si>
    <t>ніж/мультитул</t>
  </si>
  <si>
    <t>у літак можуть не пропустити</t>
  </si>
  <si>
    <t>Креденсіаль</t>
  </si>
  <si>
    <t>на місці</t>
  </si>
  <si>
    <t>Снекі</t>
  </si>
  <si>
    <t>Страховка перед поїздкою</t>
  </si>
  <si>
    <t>Додаток на телефон</t>
  </si>
  <si>
    <t>iOS</t>
  </si>
  <si>
    <t>Buen Camino de Santiago</t>
  </si>
  <si>
    <t>Camino Ninja</t>
  </si>
  <si>
    <t>Android</t>
  </si>
  <si>
    <t xml:space="preserve">EURO </t>
  </si>
  <si>
    <t>День</t>
  </si>
  <si>
    <t>Категория</t>
  </si>
  <si>
    <t>cost</t>
  </si>
  <si>
    <t>times</t>
  </si>
  <si>
    <t>Plan (€)</t>
  </si>
  <si>
    <t>Метро Аэропорт → гостиница</t>
  </si>
  <si>
    <t>ночквка в Portu</t>
  </si>
  <si>
    <t>День в  Fisterra</t>
  </si>
  <si>
    <t>Автобус Fisterra → Santiago</t>
  </si>
  <si>
    <t>Дорогоа в Порту</t>
  </si>
  <si>
    <t>Самолёт Порту → Бухарест</t>
  </si>
  <si>
    <t>Завтраки</t>
  </si>
  <si>
    <t>Обеды</t>
  </si>
  <si>
    <t>Ужины</t>
  </si>
  <si>
    <t>Перекусы / вода</t>
  </si>
  <si>
    <t>Обувь</t>
  </si>
  <si>
    <t>Палки</t>
  </si>
  <si>
    <t>Рюкзаки</t>
  </si>
  <si>
    <t>Аптечка</t>
  </si>
  <si>
    <t>Одежда</t>
  </si>
  <si>
    <t>Їжа</t>
  </si>
  <si>
    <t xml:space="preserve">Подарки </t>
  </si>
  <si>
    <t>транспорт</t>
  </si>
  <si>
    <t>підготовка</t>
  </si>
  <si>
    <t xml:space="preserve">житло </t>
  </si>
  <si>
    <t>🎒 ЧЕКЛИСТ ПОДГОТОВКИ ( июль 2026)</t>
  </si>
  <si>
    <t>Задача</t>
  </si>
  <si>
    <t>Срочность</t>
  </si>
  <si>
    <t>Детали</t>
  </si>
  <si>
    <t>☐</t>
  </si>
  <si>
    <t>Получить Credential (паспорт пилигрима)</t>
  </si>
  <si>
    <t>🔴 ВАЖНО</t>
  </si>
  <si>
    <t>Купить в Sé Porto за 2€ или заказать онлайн заранее. Нужен для альберге + Compostela</t>
  </si>
  <si>
    <t>Взять запас формулы ФКУ на 14+ дней</t>
  </si>
  <si>
    <t>В Португалии мало спецпродуктов — везти из Румынии. Порошок легче.</t>
  </si>
  <si>
    <t>Забронировать жильё в Порту заранее</t>
  </si>
  <si>
    <t xml:space="preserve">Июль — пиковый сезон. </t>
  </si>
  <si>
    <t>Разносить обувь (трейловые кроссовки) 2+ месяца</t>
  </si>
  <si>
    <t>🟡 ВАЖНО</t>
  </si>
  <si>
    <t>Главная причина срыва похода — мозоли. Начать носить с мая.</t>
  </si>
  <si>
    <t>Тренировки: ходить 15-20 км/день с рюкзаком</t>
  </si>
  <si>
    <t>🟡 ФИЗПОДГОТОВКА</t>
  </si>
  <si>
    <t>28 км/день в жару — проверить выносливость заранее</t>
  </si>
  <si>
    <t>Скачать Buen Camino / Camino Ninja (бесплатно)</t>
  </si>
  <si>
    <t>🟢 ПОЛЕЗНО</t>
  </si>
  <si>
    <t>Показывают альберге, кафе, расстояния в реальном времени</t>
  </si>
  <si>
    <t>Рюкзак max 6-7 кг (10% от веса тела)</t>
  </si>
  <si>
    <t>🟢 СНАРЯЖЕНИЕ</t>
  </si>
  <si>
    <t>распредилит нагрузку</t>
  </si>
  <si>
    <t xml:space="preserve">Треккинговые палки </t>
  </si>
  <si>
    <t>можно в Порту купить</t>
  </si>
  <si>
    <t>Солнцезащитный крем SPF50+, головной убор</t>
  </si>
  <si>
    <t>🟢 ЗДОРОВЬЕ</t>
  </si>
  <si>
    <t>Июль до 35°C. Прибрежный маршрут открытый.</t>
  </si>
  <si>
    <t>Выучить: "Um carimbo, por favor" / "Un sello, por favor"</t>
  </si>
  <si>
    <t>🟢 ПРИЯТНО</t>
  </si>
  <si>
    <t>По-португальски и по-испански — просить печати везде!</t>
  </si>
  <si>
    <t>https://www.caminodesantiago.gal/en/get-ready/</t>
  </si>
  <si>
    <t>https://oficinadelperegrino.com/en/statistics-2/</t>
  </si>
  <si>
    <t>https://www.gronze.com/</t>
  </si>
  <si>
    <t>https://play.google.com/store/apps/details?id=com.editorialbuencamino.buencamino&amp;hl=ru</t>
  </si>
  <si>
    <t>https://play.google.com/store/apps/details?id=ninja.camino.app&amp;hl=ru</t>
  </si>
  <si>
    <t>Maps.me</t>
  </si>
  <si>
    <t>Wikiloc</t>
  </si>
  <si>
    <t xml:space="preserve">https://www.alsa.com/en </t>
  </si>
  <si>
    <t>автобусный перевозчик Испании</t>
  </si>
  <si>
    <t>CP (Comboios de Portugal)</t>
  </si>
  <si>
    <t>https://rail.ninja/train/cp-train?utm_source=google&amp;utm_medium=cpc&amp;utm_campaign=RN_DSA_Lan_EN_Ta_EU&amp;utm_content=735183752399&amp;utm_term=&amp;gad_source=1&amp;gad_campaignid=20517683728&amp;gbraid=0AAAAADcrsaaaioJSA4TUvMEEpB9CRYXs8&amp;gclid=Cj0KCQiA6sjKBhCSARIsAJvYcpMick5PPTTJ-bcHCQP8zTbcdGEs-DqU4RE4mktJCDOcx_-fKJ_7w9MaAg7SEALw_wcB</t>
  </si>
  <si>
    <t>проехать часть пути на поезде в Португалии</t>
  </si>
  <si>
    <t>https://www.alpinexpe.ro/alergare-montana/pantofi-alergare/barbati-pantofi-alergare/pantofi-alergare-trail-hoka-challenger-8-jade-truffle-salt-jdt/</t>
  </si>
  <si>
    <t>https://www.sportvision.ro/pantofi-sport/527116-hoka-pantofi-sport-challenger-8</t>
  </si>
  <si>
    <t>https://rozetka.com.ua/ua/hoka-one-one-197634704210/p474046759/</t>
  </si>
  <si>
    <t>https://stonefeet.ro/incaltaminte-alergare-barbati-hoka-challenger-8-maple-cardamom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</si>
</sst>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\ h:mm:ss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i/>
      <sz val="14.0"/>
      <color rgb="FFFF0000"/>
      <name val="Calibri"/>
    </font>
    <font/>
    <font>
      <b/>
      <sz val="8.0"/>
      <color rgb="FFFFFFFF"/>
      <name val="Arial"/>
    </font>
    <font>
      <sz val="8.0"/>
      <color theme="1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b/>
      <sz val="10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sz val="11.0"/>
      <color rgb="FF0563C1"/>
      <name val="Calibri"/>
    </font>
    <font>
      <u/>
      <sz val="11.0"/>
      <color rgb="FF0563C1"/>
      <name val="Calibri"/>
    </font>
    <font>
      <b/>
      <sz val="20.0"/>
      <color theme="1"/>
      <name val="Calibri"/>
    </font>
    <font>
      <b/>
      <i/>
      <sz val="14.0"/>
      <color theme="1"/>
      <name val="Calibri"/>
    </font>
    <font>
      <sz val="11.0"/>
      <color rgb="FFFF0000"/>
      <name val="Calibri"/>
    </font>
    <font>
      <u/>
      <sz val="11.0"/>
      <color theme="1"/>
      <name val="Calibri"/>
    </font>
    <font>
      <b/>
      <sz val="10.0"/>
      <color rgb="FFFFFFFF"/>
      <name val="Arial"/>
    </font>
    <font>
      <b/>
      <sz val="9.0"/>
      <color rgb="FFFFFFFF"/>
      <name val="Arial"/>
    </font>
    <font>
      <u/>
      <sz val="11.0"/>
      <color theme="10"/>
      <name val="Calibri"/>
    </font>
    <font>
      <b/>
      <u/>
      <sz val="10.0"/>
      <color rgb="FF000000"/>
      <name val="Rubik"/>
    </font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4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FF0000"/>
      </left>
      <top style="double">
        <color rgb="FFFF0000"/>
      </top>
    </border>
    <border>
      <top style="double">
        <color rgb="FFFF0000"/>
      </top>
    </border>
    <border>
      <right style="double">
        <color rgb="FFFF0000"/>
      </right>
      <top style="double">
        <color rgb="FFFF0000"/>
      </top>
    </border>
    <border>
      <left style="double">
        <color rgb="FFFF0000"/>
      </left>
    </border>
    <border>
      <right style="double">
        <color rgb="FFFF0000"/>
      </right>
    </border>
    <border>
      <left style="double">
        <color rgb="FFFF0000"/>
      </left>
      <bottom style="double">
        <color rgb="FFFF0000"/>
      </bottom>
    </border>
    <border>
      <bottom style="double">
        <color rgb="FFFF0000"/>
      </bottom>
    </border>
    <border>
      <right style="double">
        <color rgb="FFFF0000"/>
      </right>
      <bottom style="double">
        <color rgb="FFFF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64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1" numFmtId="164" xfId="0" applyBorder="1" applyFill="1" applyFont="1" applyNumberFormat="1"/>
    <xf borderId="10" fillId="3" fontId="4" numFmtId="0" xfId="0" applyAlignment="1" applyBorder="1" applyFill="1" applyFont="1">
      <alignment horizontal="left" vertical="top"/>
    </xf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ont="1">
      <alignment horizontal="center" vertical="top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4" fontId="4" numFmtId="0" xfId="0" applyAlignment="1" applyBorder="1" applyFill="1" applyFont="1">
      <alignment horizontal="left" shrinkToFit="0" vertical="top" wrapText="1"/>
    </xf>
    <xf borderId="18" fillId="4" fontId="4" numFmtId="0" xfId="0" applyAlignment="1" applyBorder="1" applyFont="1">
      <alignment horizontal="left" shrinkToFit="0" vertical="top" wrapText="1"/>
    </xf>
    <xf borderId="19" fillId="4" fontId="4" numFmtId="0" xfId="0" applyAlignment="1" applyBorder="1" applyFont="1">
      <alignment horizontal="left" shrinkToFit="0" vertical="top" wrapText="1"/>
    </xf>
    <xf borderId="20" fillId="4" fontId="4" numFmtId="0" xfId="0" applyAlignment="1" applyBorder="1" applyFont="1">
      <alignment horizontal="left" shrinkToFit="0" vertical="top" wrapText="1"/>
    </xf>
    <xf borderId="21" fillId="4" fontId="4" numFmtId="0" xfId="0" applyAlignment="1" applyBorder="1" applyFont="1">
      <alignment horizontal="left" shrinkToFit="0" vertical="top" wrapText="1"/>
    </xf>
    <xf borderId="22" fillId="4" fontId="4" numFmtId="0" xfId="0" applyAlignment="1" applyBorder="1" applyFont="1">
      <alignment horizontal="left" shrinkToFit="0" vertical="top" wrapText="1"/>
    </xf>
    <xf borderId="17" fillId="0" fontId="5" numFmtId="0" xfId="0" applyAlignment="1" applyBorder="1" applyFont="1">
      <alignment horizontal="left" shrinkToFit="0" vertical="top" wrapText="1"/>
    </xf>
    <xf borderId="23" fillId="0" fontId="5" numFmtId="0" xfId="0" applyAlignment="1" applyBorder="1" applyFont="1">
      <alignment horizontal="left" vertical="top"/>
    </xf>
    <xf borderId="24" fillId="0" fontId="6" numFmtId="0" xfId="0" applyAlignment="1" applyBorder="1" applyFont="1">
      <alignment horizontal="left" shrinkToFit="0" vertical="top" wrapText="1"/>
    </xf>
    <xf borderId="17" fillId="0" fontId="7" numFmtId="0" xfId="0" applyAlignment="1" applyBorder="1" applyFont="1">
      <alignment horizontal="left" shrinkToFit="0" vertical="top" wrapText="1"/>
    </xf>
    <xf borderId="25" fillId="0" fontId="8" numFmtId="0" xfId="0" applyAlignment="1" applyBorder="1" applyFont="1">
      <alignment horizontal="left" shrinkToFit="0" vertical="top" wrapText="1"/>
    </xf>
    <xf borderId="25" fillId="0" fontId="5" numFmtId="0" xfId="0" applyAlignment="1" applyBorder="1" applyFont="1">
      <alignment horizontal="left" shrinkToFit="0" vertical="top" wrapText="1"/>
    </xf>
    <xf borderId="17" fillId="5" fontId="5" numFmtId="0" xfId="0" applyAlignment="1" applyBorder="1" applyFill="1" applyFont="1">
      <alignment horizontal="left" shrinkToFit="0" vertical="top" wrapText="1"/>
    </xf>
    <xf borderId="18" fillId="5" fontId="5" numFmtId="0" xfId="0" applyAlignment="1" applyBorder="1" applyFont="1">
      <alignment horizontal="left" shrinkToFit="0" vertical="top" wrapText="1"/>
    </xf>
    <xf borderId="24" fillId="5" fontId="9" numFmtId="0" xfId="0" applyAlignment="1" applyBorder="1" applyFont="1">
      <alignment horizontal="left" shrinkToFit="0" vertical="top" wrapText="1"/>
    </xf>
    <xf borderId="25" fillId="5" fontId="10" numFmtId="0" xfId="0" applyAlignment="1" applyBorder="1" applyFont="1">
      <alignment horizontal="left" shrinkToFit="0" vertical="top" wrapText="1"/>
    </xf>
    <xf borderId="24" fillId="5" fontId="5" numFmtId="0" xfId="0" applyAlignment="1" applyBorder="1" applyFont="1">
      <alignment horizontal="left" shrinkToFit="0" vertical="top" wrapText="1"/>
    </xf>
    <xf borderId="25" fillId="5" fontId="5" numFmtId="0" xfId="0" applyAlignment="1" applyBorder="1" applyFont="1">
      <alignment horizontal="left" shrinkToFit="0" vertical="top" wrapText="1"/>
    </xf>
    <xf borderId="23" fillId="0" fontId="5" numFmtId="0" xfId="0" applyAlignment="1" applyBorder="1" applyFont="1">
      <alignment horizontal="left" shrinkToFit="0" vertical="top" wrapText="1"/>
    </xf>
    <xf borderId="26" fillId="0" fontId="5" numFmtId="0" xfId="0" applyAlignment="1" applyBorder="1" applyFont="1">
      <alignment horizontal="left" shrinkToFit="0" vertical="top" wrapText="1"/>
    </xf>
    <xf borderId="17" fillId="5" fontId="11" numFmtId="0" xfId="0" applyAlignment="1" applyBorder="1" applyFont="1">
      <alignment horizontal="left" shrinkToFit="0" vertical="top" wrapText="1"/>
    </xf>
    <xf borderId="27" fillId="0" fontId="5" numFmtId="0" xfId="0" applyAlignment="1" applyBorder="1" applyFont="1">
      <alignment horizontal="left" shrinkToFit="0" vertical="top" wrapText="1"/>
    </xf>
    <xf borderId="27" fillId="6" fontId="5" numFmtId="0" xfId="0" applyAlignment="1" applyBorder="1" applyFill="1" applyFont="1">
      <alignment horizontal="left" shrinkToFit="0" vertical="top" wrapText="1"/>
    </xf>
    <xf borderId="28" fillId="0" fontId="5" numFmtId="0" xfId="0" applyAlignment="1" applyBorder="1" applyFont="1">
      <alignment horizontal="left" shrinkToFit="0" vertical="top" wrapText="1"/>
    </xf>
    <xf borderId="27" fillId="0" fontId="12" numFmtId="0" xfId="0" applyAlignment="1" applyBorder="1" applyFont="1">
      <alignment horizontal="left" shrinkToFit="0" vertical="top" wrapText="1"/>
    </xf>
    <xf borderId="29" fillId="0" fontId="5" numFmtId="0" xfId="0" applyAlignment="1" applyBorder="1" applyFont="1">
      <alignment horizontal="left" shrinkToFit="0" vertical="top" wrapText="1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5" fontId="5" numFmtId="0" xfId="0" applyAlignment="1" applyBorder="1" applyFont="1">
      <alignment horizontal="left" shrinkToFit="0" vertical="top" wrapText="1"/>
    </xf>
    <xf borderId="17" fillId="5" fontId="5" numFmtId="2" xfId="0" applyAlignment="1" applyBorder="1" applyFont="1" applyNumberFormat="1">
      <alignment horizontal="left" shrinkToFit="0" vertical="top" wrapText="1"/>
    </xf>
    <xf borderId="33" fillId="7" fontId="5" numFmtId="0" xfId="0" applyAlignment="1" applyBorder="1" applyFill="1" applyFont="1">
      <alignment horizontal="left" shrinkToFit="0" vertical="top" wrapText="1"/>
    </xf>
    <xf borderId="17" fillId="0" fontId="5" numFmtId="2" xfId="0" applyAlignment="1" applyBorder="1" applyFont="1" applyNumberFormat="1">
      <alignment horizontal="left" shrinkToFit="0" vertical="top" wrapText="1"/>
    </xf>
    <xf borderId="24" fillId="0" fontId="5" numFmtId="0" xfId="0" applyAlignment="1" applyBorder="1" applyFont="1">
      <alignment horizontal="left" shrinkToFit="0" vertical="top" wrapText="1"/>
    </xf>
    <xf borderId="34" fillId="5" fontId="5" numFmtId="0" xfId="0" applyAlignment="1" applyBorder="1" applyFont="1">
      <alignment horizontal="left" shrinkToFit="0" vertical="top" wrapText="1"/>
    </xf>
    <xf borderId="35" fillId="5" fontId="5" numFmtId="0" xfId="0" applyAlignment="1" applyBorder="1" applyFont="1">
      <alignment horizontal="left" shrinkToFit="0" vertical="top" wrapText="1"/>
    </xf>
    <xf borderId="36" fillId="5" fontId="5" numFmtId="0" xfId="0" applyAlignment="1" applyBorder="1" applyFont="1">
      <alignment horizontal="left" shrinkToFit="0" vertical="top" wrapText="1"/>
    </xf>
    <xf borderId="37" fillId="5" fontId="5" numFmtId="0" xfId="0" applyAlignment="1" applyBorder="1" applyFont="1">
      <alignment horizontal="left" shrinkToFit="0" vertical="top" wrapText="1"/>
    </xf>
    <xf borderId="38" fillId="0" fontId="13" numFmtId="164" xfId="0" applyAlignment="1" applyBorder="1" applyFont="1" applyNumberForma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0" fillId="0" fontId="14" numFmtId="0" xfId="0" applyFont="1"/>
    <xf borderId="41" fillId="0" fontId="3" numFmtId="0" xfId="0" applyBorder="1" applyFont="1"/>
    <xf borderId="42" fillId="0" fontId="3" numFmtId="0" xfId="0" applyBorder="1" applyFont="1"/>
    <xf borderId="17" fillId="0" fontId="1" numFmtId="0" xfId="0" applyBorder="1" applyFont="1"/>
    <xf borderId="17" fillId="0" fontId="14" numFmtId="0" xfId="0" applyBorder="1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17" fillId="7" fontId="1" numFmtId="0" xfId="0" applyBorder="1" applyFont="1"/>
    <xf borderId="17" fillId="0" fontId="1" numFmtId="0" xfId="0" applyAlignment="1" applyBorder="1" applyFont="1">
      <alignment shrinkToFit="0" wrapText="1"/>
    </xf>
    <xf borderId="0" fillId="0" fontId="18" numFmtId="0" xfId="0" applyAlignment="1" applyFont="1">
      <alignment horizontal="center" textRotation="90" vertical="center"/>
    </xf>
    <xf borderId="0" fillId="0" fontId="14" numFmtId="0" xfId="0" applyAlignment="1" applyFont="1">
      <alignment horizontal="center" shrinkToFit="0" vertical="center" wrapText="1"/>
    </xf>
    <xf borderId="38" fillId="0" fontId="19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18" fillId="2" fontId="1" numFmtId="164" xfId="0" applyBorder="1" applyFont="1" applyNumberFormat="1"/>
    <xf borderId="17" fillId="0" fontId="14" numFmtId="0" xfId="0" applyAlignment="1" applyBorder="1" applyFont="1">
      <alignment horizontal="center" shrinkToFit="0" vertical="center" wrapText="1"/>
    </xf>
    <xf borderId="27" fillId="0" fontId="1" numFmtId="14" xfId="0" applyAlignment="1" applyBorder="1" applyFont="1" applyNumberFormat="1">
      <alignment horizontal="center"/>
    </xf>
    <xf borderId="17" fillId="0" fontId="1" numFmtId="14" xfId="0" applyBorder="1" applyFont="1" applyNumberFormat="1"/>
    <xf borderId="17" fillId="0" fontId="2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46" fillId="0" fontId="3" numFmtId="0" xfId="0" applyBorder="1" applyFont="1"/>
    <xf borderId="0" fillId="0" fontId="21" numFmtId="0" xfId="0" applyFont="1"/>
    <xf borderId="17" fillId="0" fontId="1" numFmtId="49" xfId="0" applyBorder="1" applyFont="1" applyNumberFormat="1"/>
    <xf borderId="27" fillId="0" fontId="1" numFmtId="49" xfId="0" applyAlignment="1" applyBorder="1" applyFont="1" applyNumberFormat="1">
      <alignment horizontal="center"/>
    </xf>
    <xf borderId="17" fillId="0" fontId="14" numFmtId="0" xfId="0" applyAlignment="1" applyBorder="1" applyFont="1">
      <alignment shrinkToFit="0" vertical="center" wrapText="1"/>
    </xf>
    <xf borderId="17" fillId="7" fontId="1" numFmtId="0" xfId="0" applyAlignment="1" applyBorder="1" applyFont="1">
      <alignment shrinkToFit="0" vertical="center" wrapText="1"/>
    </xf>
    <xf borderId="23" fillId="3" fontId="22" numFmtId="0" xfId="0" applyAlignment="1" applyBorder="1" applyFont="1">
      <alignment horizontal="left" vertical="center"/>
    </xf>
    <xf borderId="26" fillId="0" fontId="3" numFmtId="0" xfId="0" applyBorder="1" applyFont="1"/>
    <xf borderId="47" fillId="0" fontId="3" numFmtId="0" xfId="0" applyBorder="1" applyFont="1"/>
    <xf borderId="17" fillId="4" fontId="23" numFmtId="0" xfId="0" applyAlignment="1" applyBorder="1" applyFont="1">
      <alignment horizontal="center" shrinkToFit="0" vertical="center" wrapText="1"/>
    </xf>
    <xf borderId="17" fillId="8" fontId="5" numFmtId="0" xfId="0" applyAlignment="1" applyBorder="1" applyFill="1" applyFont="1">
      <alignment shrinkToFit="0" vertical="center" wrapText="1"/>
    </xf>
    <xf borderId="17" fillId="9" fontId="5" numFmtId="0" xfId="0" applyAlignment="1" applyBorder="1" applyFill="1" applyFont="1">
      <alignment shrinkToFit="0" vertical="center" wrapText="1"/>
    </xf>
    <xf borderId="17" fillId="10" fontId="5" numFmtId="0" xfId="0" applyAlignment="1" applyBorder="1" applyFill="1" applyFont="1">
      <alignment shrinkToFit="0" vertical="center" wrapText="1"/>
    </xf>
    <xf borderId="0" fillId="0" fontId="24" numFmtId="0" xfId="0" applyFont="1"/>
    <xf borderId="0" fillId="0" fontId="25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x929WCJSrLQu5uWn7" TargetMode="External"/><Relationship Id="rId42" Type="http://schemas.openxmlformats.org/officeDocument/2006/relationships/hyperlink" Target="https://maps.app.goo.gl/sbNcRSWjaZPGrPVDA" TargetMode="External"/><Relationship Id="rId41" Type="http://schemas.openxmlformats.org/officeDocument/2006/relationships/hyperlink" Target="https://maps.app.goo.gl/7mPK42xZfzBkZ3zZ9" TargetMode="External"/><Relationship Id="rId44" Type="http://schemas.openxmlformats.org/officeDocument/2006/relationships/hyperlink" Target="https://maps.app.goo.gl/82p3rrojrys129zo6" TargetMode="External"/><Relationship Id="rId43" Type="http://schemas.openxmlformats.org/officeDocument/2006/relationships/hyperlink" Target="https://maps.app.goo.gl/GW5tcQLakPziTbLW8" TargetMode="External"/><Relationship Id="rId46" Type="http://schemas.openxmlformats.org/officeDocument/2006/relationships/hyperlink" Target="https://maps.app.goo.gl/GhWaDaPmSd4imE4C7" TargetMode="External"/><Relationship Id="rId45" Type="http://schemas.openxmlformats.org/officeDocument/2006/relationships/hyperlink" Target="https://maps.app.goo.gl/eb1XPka9vwpcrJeD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aps.app.goo.gl/9KBUk13TEFcd8Et48" TargetMode="External"/><Relationship Id="rId3" Type="http://schemas.openxmlformats.org/officeDocument/2006/relationships/hyperlink" Target="https://maps.app.goo.gl/rE9Q2eRZyxCCGV9Q8" TargetMode="External"/><Relationship Id="rId4" Type="http://schemas.openxmlformats.org/officeDocument/2006/relationships/hyperlink" Target="https://maps.app.goo.gl/7FwniH79Ju6AouK17" TargetMode="External"/><Relationship Id="rId9" Type="http://schemas.openxmlformats.org/officeDocument/2006/relationships/hyperlink" Target="https://maps.app.goo.gl/wJEKfAmWsPayzwWC8" TargetMode="External"/><Relationship Id="rId48" Type="http://schemas.openxmlformats.org/officeDocument/2006/relationships/hyperlink" Target="https://maps.app.goo.gl/nXd6RnYXMA9LEK1Z6" TargetMode="External"/><Relationship Id="rId47" Type="http://schemas.openxmlformats.org/officeDocument/2006/relationships/hyperlink" Target="https://maps.app.goo.gl/jJtp6Af93aq2MJAD8" TargetMode="External"/><Relationship Id="rId49" Type="http://schemas.openxmlformats.org/officeDocument/2006/relationships/hyperlink" Target="https://maps.app.goo.gl/1uppFWpNB1N3SPS98" TargetMode="External"/><Relationship Id="rId5" Type="http://schemas.openxmlformats.org/officeDocument/2006/relationships/hyperlink" Target="https://maps.app.goo.gl/2pVzLBpUxEym92qJA" TargetMode="External"/><Relationship Id="rId6" Type="http://schemas.openxmlformats.org/officeDocument/2006/relationships/hyperlink" Target="https://maps.app.goo.gl/kzjx38bGYLw1eZhv7" TargetMode="External"/><Relationship Id="rId7" Type="http://schemas.openxmlformats.org/officeDocument/2006/relationships/hyperlink" Target="https://maps.app.goo.gl/zurfFVh69maGvuNR6" TargetMode="External"/><Relationship Id="rId8" Type="http://schemas.openxmlformats.org/officeDocument/2006/relationships/hyperlink" Target="https://maps.app.goo.gl/9KBUk13TEFcd8Et48" TargetMode="External"/><Relationship Id="rId31" Type="http://schemas.openxmlformats.org/officeDocument/2006/relationships/hyperlink" Target="https://maps.app.goo.gl/yRSUkSntNTZMCgrB6" TargetMode="External"/><Relationship Id="rId30" Type="http://schemas.openxmlformats.org/officeDocument/2006/relationships/hyperlink" Target="https://maps.app.goo.gl/Gwp3ARpxpsRn5T379" TargetMode="External"/><Relationship Id="rId33" Type="http://schemas.openxmlformats.org/officeDocument/2006/relationships/hyperlink" Target="https://maps.app.goo.gl/Gwp3ARpxpsRn5T379" TargetMode="External"/><Relationship Id="rId32" Type="http://schemas.openxmlformats.org/officeDocument/2006/relationships/hyperlink" Target="https://maps.app.goo.gl/DyNHd37T6RnR7Cc3A" TargetMode="External"/><Relationship Id="rId35" Type="http://schemas.openxmlformats.org/officeDocument/2006/relationships/hyperlink" Target="https://maps.app.goo.gl/Pgs8nDoGDv7Kekoj6" TargetMode="External"/><Relationship Id="rId34" Type="http://schemas.openxmlformats.org/officeDocument/2006/relationships/hyperlink" Target="https://maps.app.goo.gl/zKHStmU8NkEj94YZA" TargetMode="External"/><Relationship Id="rId37" Type="http://schemas.openxmlformats.org/officeDocument/2006/relationships/hyperlink" Target="https://maps.app.goo.gl/DqL8Ba4WDvVaA9M78" TargetMode="External"/><Relationship Id="rId36" Type="http://schemas.openxmlformats.org/officeDocument/2006/relationships/hyperlink" Target="https://maps.app.goo.gl/zGNXR7PEFUV3HdJF8" TargetMode="External"/><Relationship Id="rId39" Type="http://schemas.openxmlformats.org/officeDocument/2006/relationships/hyperlink" Target="https://maps.app.goo.gl/ZJ7wcsXkQxSFwLmVA" TargetMode="External"/><Relationship Id="rId38" Type="http://schemas.openxmlformats.org/officeDocument/2006/relationships/hyperlink" Target="https://maps.app.goo.gl/ym3RkYgTtpKPdXpS8" TargetMode="External"/><Relationship Id="rId61" Type="http://schemas.openxmlformats.org/officeDocument/2006/relationships/vmlDrawing" Target="../drawings/vmlDrawing1.vml"/><Relationship Id="rId20" Type="http://schemas.openxmlformats.org/officeDocument/2006/relationships/hyperlink" Target="https://maps.app.goo.gl/ZMCADMBwWMnGw5Ty5" TargetMode="External"/><Relationship Id="rId22" Type="http://schemas.openxmlformats.org/officeDocument/2006/relationships/hyperlink" Target="https://maps.app.goo.gl/gEWMLtxBeQT6QgPZA" TargetMode="External"/><Relationship Id="rId21" Type="http://schemas.openxmlformats.org/officeDocument/2006/relationships/hyperlink" Target="https://maps.app.goo.gl/WdnEuf2keho7uQgS8" TargetMode="External"/><Relationship Id="rId24" Type="http://schemas.openxmlformats.org/officeDocument/2006/relationships/hyperlink" Target="https://maps.app.goo.gl/xRvvic9jiEgCCu7w9" TargetMode="External"/><Relationship Id="rId23" Type="http://schemas.openxmlformats.org/officeDocument/2006/relationships/hyperlink" Target="https://maps.app.goo.gl/QjJCKXABb7HP9HJQ7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maps.app.goo.gl/SLjcgJoZfdVEQGQ99" TargetMode="External"/><Relationship Id="rId25" Type="http://schemas.openxmlformats.org/officeDocument/2006/relationships/hyperlink" Target="https://maps.app.goo.gl/UqiKqAEcUrnZ72zU8" TargetMode="External"/><Relationship Id="rId28" Type="http://schemas.openxmlformats.org/officeDocument/2006/relationships/hyperlink" Target="https://maps.app.goo.gl/GZcceD9Za22YrmTf9" TargetMode="External"/><Relationship Id="rId27" Type="http://schemas.openxmlformats.org/officeDocument/2006/relationships/hyperlink" Target="https://maps.app.goo.gl/ciy41DSamANaT5KW9" TargetMode="External"/><Relationship Id="rId29" Type="http://schemas.openxmlformats.org/officeDocument/2006/relationships/hyperlink" Target="https://maps.app.goo.gl/SMbnzRbayo7h4zCp8" TargetMode="External"/><Relationship Id="rId51" Type="http://schemas.openxmlformats.org/officeDocument/2006/relationships/hyperlink" Target="https://maps.app.goo.gl/zmEaKXU7gSfkK2zf7" TargetMode="External"/><Relationship Id="rId50" Type="http://schemas.openxmlformats.org/officeDocument/2006/relationships/hyperlink" Target="https://maps.app.goo.gl/o3b1871xxVxJwezPA" TargetMode="External"/><Relationship Id="rId53" Type="http://schemas.openxmlformats.org/officeDocument/2006/relationships/hyperlink" Target="https://maps.app.goo.gl/Tb3QCnuWnSfNgoiy8" TargetMode="External"/><Relationship Id="rId52" Type="http://schemas.openxmlformats.org/officeDocument/2006/relationships/hyperlink" Target="https://maps.app.goo.gl/NaDSzkGniz87Xmj68" TargetMode="External"/><Relationship Id="rId11" Type="http://schemas.openxmlformats.org/officeDocument/2006/relationships/hyperlink" Target="https://maps.app.goo.gl/qytyoCTGohmt6snu5" TargetMode="External"/><Relationship Id="rId55" Type="http://schemas.openxmlformats.org/officeDocument/2006/relationships/hyperlink" Target="https://maps.app.goo.gl/gxCtUtn78Yn4RCJw9" TargetMode="External"/><Relationship Id="rId10" Type="http://schemas.openxmlformats.org/officeDocument/2006/relationships/hyperlink" Target="https://maps.app.goo.gl/heVF6iBuFzA8neWn6" TargetMode="External"/><Relationship Id="rId54" Type="http://schemas.openxmlformats.org/officeDocument/2006/relationships/hyperlink" Target="https://maps.app.goo.gl/11cP4UjXR8v5k3ss7" TargetMode="External"/><Relationship Id="rId13" Type="http://schemas.openxmlformats.org/officeDocument/2006/relationships/hyperlink" Target="https://maps.app.goo.gl/kzjx38bGYLw1eZhv7" TargetMode="External"/><Relationship Id="rId57" Type="http://schemas.openxmlformats.org/officeDocument/2006/relationships/hyperlink" Target="https://maps.app.goo.gl/Tb3QCnuWnSfNgoiy8" TargetMode="External"/><Relationship Id="rId12" Type="http://schemas.openxmlformats.org/officeDocument/2006/relationships/hyperlink" Target="https://maps.app.goo.gl/DuerUQZU7p4KLbro6" TargetMode="External"/><Relationship Id="rId56" Type="http://schemas.openxmlformats.org/officeDocument/2006/relationships/hyperlink" Target="https://maps.app.goo.gl/4QzmYkdBiMY7yxqZ9" TargetMode="External"/><Relationship Id="rId15" Type="http://schemas.openxmlformats.org/officeDocument/2006/relationships/hyperlink" Target="https://maps.app.goo.gl/7YAuMaEAKKchXras6" TargetMode="External"/><Relationship Id="rId59" Type="http://schemas.openxmlformats.org/officeDocument/2006/relationships/hyperlink" Target="https://maps.app.goo.gl/tnkiXxBX4dD1oy4e6" TargetMode="External"/><Relationship Id="rId14" Type="http://schemas.openxmlformats.org/officeDocument/2006/relationships/hyperlink" Target="https://maps.app.goo.gl/7YAuMaEAKKchXras6" TargetMode="External"/><Relationship Id="rId58" Type="http://schemas.openxmlformats.org/officeDocument/2006/relationships/hyperlink" Target="https://maps.app.goo.gl/11cP4UjXR8v5k3ss7" TargetMode="External"/><Relationship Id="rId17" Type="http://schemas.openxmlformats.org/officeDocument/2006/relationships/hyperlink" Target="https://maps.app.goo.gl/tWkQ5b2MjnskTtwG6" TargetMode="External"/><Relationship Id="rId16" Type="http://schemas.openxmlformats.org/officeDocument/2006/relationships/hyperlink" Target="https://maps.app.goo.gl/SPd5x83ofxqruRHg9" TargetMode="External"/><Relationship Id="rId19" Type="http://schemas.openxmlformats.org/officeDocument/2006/relationships/hyperlink" Target="https://maps.app.goo.gl/c5uZBmCGSXf8gCgHA" TargetMode="External"/><Relationship Id="rId18" Type="http://schemas.openxmlformats.org/officeDocument/2006/relationships/hyperlink" Target="https://maps.app.goo.gl/5Tma5y9LT2Z8Yt2g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4camping.ro/p/rucsac-turistic-pinguin-fly-35/?gad_campaignid=21391145456" TargetMode="External"/><Relationship Id="rId3" Type="http://schemas.openxmlformats.org/officeDocument/2006/relationships/hyperlink" Target="https://www.olx.ro/d/oferta/rucsac-osprey-exos-34-marime-m-IDk7MVI.html" TargetMode="External"/><Relationship Id="rId4" Type="http://schemas.openxmlformats.org/officeDocument/2006/relationships/hyperlink" Target="https://www.olx.ro/d/oferta/rucsac-drumetie-forclaz40air-40-l-ca-nou-cu-husa-impermeabila-IDjXXOi.html?isPreviewActive=0&amp;sliderIndex=5" TargetMode="External"/><Relationship Id="rId9" Type="http://schemas.openxmlformats.org/officeDocument/2006/relationships/hyperlink" Target="https://www.decathlon.ro/p/camasa-cu-maneci-lungi-anti-uv-travel-900-stretch-gri-barbati/_/R-p-349746?mc=8826045&amp;c=GRI" TargetMode="External"/><Relationship Id="rId5" Type="http://schemas.openxmlformats.org/officeDocument/2006/relationships/hyperlink" Target="https://www.4camping.ro/p/rucsac-osprey-hikelite-28/" TargetMode="External"/><Relationship Id="rId6" Type="http://schemas.openxmlformats.org/officeDocument/2006/relationships/hyperlink" Target="https://leobox.ua/riukzak-pentagram-30-l-karkasna-spynka-dlia-turyzmu-velosportu-ta-mista-biriuzovyi-peacock-blue/" TargetMode="External"/><Relationship Id="rId7" Type="http://schemas.openxmlformats.org/officeDocument/2006/relationships/hyperlink" Target="https://www.decathlon.ro/toate-sporturile/drumetie-trekking/poncho-si-huse-impermeabile" TargetMode="External"/><Relationship Id="rId8" Type="http://schemas.openxmlformats.org/officeDocument/2006/relationships/hyperlink" Target="https://www.decathlon.ro/p/camasa-cu-maneca-scurta-pentru-drumetie-nh100-bej-barbati/_/R-p-337820?mc=8969134&amp;c=BEJ" TargetMode="External"/><Relationship Id="rId11" Type="http://schemas.openxmlformats.org/officeDocument/2006/relationships/hyperlink" Target="https://www.decathlon.pt/p/mp/compeed-ampollas-extreme-5-ud/1db22bb1-cb4e-4c23-99a0-9b38e4114f4e/novar" TargetMode="External"/><Relationship Id="rId10" Type="http://schemas.openxmlformats.org/officeDocument/2006/relationships/hyperlink" Target="https://www.decathlon.ro/p/mp/safe4sport/soft-flask-sticla-de-apa-flexibila-pentru-alergare-500-ml/_/R-p-247fd876-63e0-4225-bc1c-98a2430442bc" TargetMode="External"/><Relationship Id="rId13" Type="http://schemas.openxmlformats.org/officeDocument/2006/relationships/hyperlink" Target="https://apps.apple.com/us/app/camino-ninja-app/id1491232190" TargetMode="External"/><Relationship Id="rId12" Type="http://schemas.openxmlformats.org/officeDocument/2006/relationships/hyperlink" Target="https://apps.apple.com/es/app/buen-camino-de-santiago-app/id858222947" TargetMode="External"/><Relationship Id="rId15" Type="http://schemas.openxmlformats.org/officeDocument/2006/relationships/hyperlink" Target="https://play.google.com/store/apps/details?id=ninja.camino.app" TargetMode="External"/><Relationship Id="rId14" Type="http://schemas.openxmlformats.org/officeDocument/2006/relationships/hyperlink" Target="https://play.google.com/store/apps/details?id=com.editorialbuencamino.buencamino" TargetMode="External"/><Relationship Id="rId17" Type="http://schemas.openxmlformats.org/officeDocument/2006/relationships/vmlDrawing" Target="../drawings/vmlDrawing2.vm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eb1XPka9vwpcrJeD6" TargetMode="External"/><Relationship Id="rId42" Type="http://schemas.openxmlformats.org/officeDocument/2006/relationships/hyperlink" Target="https://maps.app.goo.gl/1uppFWpNB1N3SPS98" TargetMode="External"/><Relationship Id="rId41" Type="http://schemas.openxmlformats.org/officeDocument/2006/relationships/hyperlink" Target="https://maps.app.goo.gl/nXd6RnYXMA9LEK1Z6" TargetMode="External"/><Relationship Id="rId44" Type="http://schemas.openxmlformats.org/officeDocument/2006/relationships/hyperlink" Target="https://maps.app.goo.gl/11cP4UjXR8v5k3ss7" TargetMode="External"/><Relationship Id="rId43" Type="http://schemas.openxmlformats.org/officeDocument/2006/relationships/hyperlink" Target="https://maps.app.goo.gl/o3b1871xxVxJwezPA" TargetMode="External"/><Relationship Id="rId46" Type="http://schemas.openxmlformats.org/officeDocument/2006/relationships/hyperlink" Target="https://maps.app.goo.gl/gxCtUtn78Yn4RCJw9" TargetMode="External"/><Relationship Id="rId45" Type="http://schemas.openxmlformats.org/officeDocument/2006/relationships/hyperlink" Target="https://maps.app.goo.gl/Tb3QCnuWnSfNgoiy8" TargetMode="External"/><Relationship Id="rId1" Type="http://schemas.openxmlformats.org/officeDocument/2006/relationships/hyperlink" Target="https://maps.app.goo.gl/rE9Q2eRZyxCCGV9Q8" TargetMode="External"/><Relationship Id="rId2" Type="http://schemas.openxmlformats.org/officeDocument/2006/relationships/hyperlink" Target="https://maps.app.goo.gl/exf2LQc5BnTy8qpv6" TargetMode="External"/><Relationship Id="rId3" Type="http://schemas.openxmlformats.org/officeDocument/2006/relationships/hyperlink" Target="https://maps.app.goo.gl/ntMpGsWMRkuurGoVA" TargetMode="External"/><Relationship Id="rId4" Type="http://schemas.openxmlformats.org/officeDocument/2006/relationships/hyperlink" Target="https://maps.app.goo.gl/PyGDVhu7NxUM276Y7" TargetMode="External"/><Relationship Id="rId9" Type="http://schemas.openxmlformats.org/officeDocument/2006/relationships/hyperlink" Target="https://maps.app.goo.gl/DuerUQZU7p4KLbro6" TargetMode="External"/><Relationship Id="rId48" Type="http://schemas.openxmlformats.org/officeDocument/2006/relationships/hyperlink" Target="https://maps.app.goo.gl/wY6mgd5mrx8JgAqL7" TargetMode="External"/><Relationship Id="rId47" Type="http://schemas.openxmlformats.org/officeDocument/2006/relationships/hyperlink" Target="https://maps.app.goo.gl/4QzmYkdBiMY7yxqZ9" TargetMode="External"/><Relationship Id="rId49" Type="http://schemas.openxmlformats.org/officeDocument/2006/relationships/hyperlink" Target="https://maps.app.goo.gl/orReSP5vmMn8m4pb7" TargetMode="External"/><Relationship Id="rId5" Type="http://schemas.openxmlformats.org/officeDocument/2006/relationships/hyperlink" Target="https://maps.app.goo.gl/zurfFVh69maGvuNR6" TargetMode="External"/><Relationship Id="rId6" Type="http://schemas.openxmlformats.org/officeDocument/2006/relationships/hyperlink" Target="https://maps.app.goo.gl/ntMpGsWMRkuurGoVA" TargetMode="External"/><Relationship Id="rId7" Type="http://schemas.openxmlformats.org/officeDocument/2006/relationships/hyperlink" Target="https://maps.app.goo.gl/kzjx38bGYLw1eZhv7" TargetMode="External"/><Relationship Id="rId8" Type="http://schemas.openxmlformats.org/officeDocument/2006/relationships/hyperlink" Target="https://maps.app.goo.gl/7FwniH79Ju6AouK17" TargetMode="External"/><Relationship Id="rId31" Type="http://schemas.openxmlformats.org/officeDocument/2006/relationships/hyperlink" Target="https://maps.app.goo.gl/ZWsqeYhyLgU2vJdH7" TargetMode="External"/><Relationship Id="rId30" Type="http://schemas.openxmlformats.org/officeDocument/2006/relationships/hyperlink" Target="https://maps.app.goo.gl/ym3RkYgTtpKPdXpS8" TargetMode="External"/><Relationship Id="rId33" Type="http://schemas.openxmlformats.org/officeDocument/2006/relationships/hyperlink" Target="https://maps.app.goo.gl/x929WCJSrLQu5uWn7" TargetMode="External"/><Relationship Id="rId32" Type="http://schemas.openxmlformats.org/officeDocument/2006/relationships/hyperlink" Target="https://maps.app.goo.gl/ZJ7wcsXkQxSFwLmVA" TargetMode="External"/><Relationship Id="rId35" Type="http://schemas.openxmlformats.org/officeDocument/2006/relationships/hyperlink" Target="https://maps.app.goo.gl/sbNcRSWjaZPGrPVDA" TargetMode="External"/><Relationship Id="rId34" Type="http://schemas.openxmlformats.org/officeDocument/2006/relationships/hyperlink" Target="https://maps.app.goo.gl/7mPK42xZfzBkZ3zZ9" TargetMode="External"/><Relationship Id="rId37" Type="http://schemas.openxmlformats.org/officeDocument/2006/relationships/hyperlink" Target="https://maps.app.goo.gl/GW5tcQLakPziTbLW8" TargetMode="External"/><Relationship Id="rId36" Type="http://schemas.openxmlformats.org/officeDocument/2006/relationships/hyperlink" Target="https://maps.app.goo.gl/82p3rrojrys129zo6" TargetMode="External"/><Relationship Id="rId39" Type="http://schemas.openxmlformats.org/officeDocument/2006/relationships/hyperlink" Target="https://maps.app.goo.gl/S7hVRAzTx3jifBG79" TargetMode="External"/><Relationship Id="rId38" Type="http://schemas.openxmlformats.org/officeDocument/2006/relationships/hyperlink" Target="https://maps.app.goo.gl/jJtp6Af93aq2MJAD8" TargetMode="External"/><Relationship Id="rId20" Type="http://schemas.openxmlformats.org/officeDocument/2006/relationships/hyperlink" Target="https://maps.app.goo.gl/QjJCKXABb7HP9HJQ7" TargetMode="External"/><Relationship Id="rId22" Type="http://schemas.openxmlformats.org/officeDocument/2006/relationships/hyperlink" Target="https://maps.app.goo.gl/SLjcgJoZfdVEQGQ99" TargetMode="External"/><Relationship Id="rId21" Type="http://schemas.openxmlformats.org/officeDocument/2006/relationships/hyperlink" Target="https://maps.app.goo.gl/xRvvic9jiEgCCu7w9" TargetMode="External"/><Relationship Id="rId24" Type="http://schemas.openxmlformats.org/officeDocument/2006/relationships/hyperlink" Target="https://maps.app.goo.gl/SMbnzRbayo7h4zCp8" TargetMode="External"/><Relationship Id="rId23" Type="http://schemas.openxmlformats.org/officeDocument/2006/relationships/hyperlink" Target="https://maps.app.goo.gl/ciy41DSamANaT5KW9" TargetMode="External"/><Relationship Id="rId26" Type="http://schemas.openxmlformats.org/officeDocument/2006/relationships/hyperlink" Target="https://maps.app.goo.gl/Pgs8nDoGDv7Kekoj6" TargetMode="External"/><Relationship Id="rId25" Type="http://schemas.openxmlformats.org/officeDocument/2006/relationships/hyperlink" Target="https://maps.app.goo.gl/GZcceD9Za22YrmTf9" TargetMode="External"/><Relationship Id="rId28" Type="http://schemas.openxmlformats.org/officeDocument/2006/relationships/hyperlink" Target="https://maps.app.goo.gl/EHgXMvEmEAwiJmMY7" TargetMode="External"/><Relationship Id="rId27" Type="http://schemas.openxmlformats.org/officeDocument/2006/relationships/hyperlink" Target="https://maps.app.goo.gl/zGNXR7PEFUV3HdJF8" TargetMode="External"/><Relationship Id="rId29" Type="http://schemas.openxmlformats.org/officeDocument/2006/relationships/hyperlink" Target="https://maps.app.goo.gl/DqL8Ba4WDvVaA9M78" TargetMode="External"/><Relationship Id="rId51" Type="http://schemas.openxmlformats.org/officeDocument/2006/relationships/hyperlink" Target="https://maps.app.goo.gl/tnkiXxBX4dD1oy4e6" TargetMode="External"/><Relationship Id="rId50" Type="http://schemas.openxmlformats.org/officeDocument/2006/relationships/hyperlink" Target="https://maps.app.goo.gl/yJvfhcCf4XuFemzn9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s://maps.app.goo.gl/7YAuMaEAKKchXras6" TargetMode="External"/><Relationship Id="rId10" Type="http://schemas.openxmlformats.org/officeDocument/2006/relationships/hyperlink" Target="https://maps.app.goo.gl/CGmuA3PUKiQkkoNg9" TargetMode="External"/><Relationship Id="rId13" Type="http://schemas.openxmlformats.org/officeDocument/2006/relationships/hyperlink" Target="https://maps.app.goo.gl/jh4wL6w5eWwyLAaa8" TargetMode="External"/><Relationship Id="rId12" Type="http://schemas.openxmlformats.org/officeDocument/2006/relationships/hyperlink" Target="https://maps.app.goo.gl/7YAuMaEAKKchXras6" TargetMode="External"/><Relationship Id="rId15" Type="http://schemas.openxmlformats.org/officeDocument/2006/relationships/hyperlink" Target="https://maps.app.goo.gl/c5uZBmCGSXf8gCgHA" TargetMode="External"/><Relationship Id="rId14" Type="http://schemas.openxmlformats.org/officeDocument/2006/relationships/hyperlink" Target="https://maps.app.goo.gl/tWkQ5b2MjnskTtwG6" TargetMode="External"/><Relationship Id="rId17" Type="http://schemas.openxmlformats.org/officeDocument/2006/relationships/hyperlink" Target="https://maps.app.goo.gl/TJCvMm2x4vN6RDJk7" TargetMode="External"/><Relationship Id="rId16" Type="http://schemas.openxmlformats.org/officeDocument/2006/relationships/hyperlink" Target="https://maps.app.goo.gl/ZMCADMBwWMnGw5Ty5" TargetMode="External"/><Relationship Id="rId19" Type="http://schemas.openxmlformats.org/officeDocument/2006/relationships/hyperlink" Target="https://maps.app.goo.gl/gEWMLtxBeQT6QgPZA" TargetMode="External"/><Relationship Id="rId18" Type="http://schemas.openxmlformats.org/officeDocument/2006/relationships/hyperlink" Target="https://maps.app.goo.gl/gEWMLtxBeQT6QgPZ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minodesantiago.gal/en/get-ready/" TargetMode="External"/><Relationship Id="rId2" Type="http://schemas.openxmlformats.org/officeDocument/2006/relationships/hyperlink" Target="https://www.gronze.com/" TargetMode="External"/><Relationship Id="rId3" Type="http://schemas.openxmlformats.org/officeDocument/2006/relationships/hyperlink" Target="https://play.google.com/store/apps/details?id=com.editorialbuencamino.buencamino&amp;hl=ru" TargetMode="External"/><Relationship Id="rId4" Type="http://schemas.openxmlformats.org/officeDocument/2006/relationships/hyperlink" Target="https://play.google.com/store/apps/details?id=ninja.camino.app&amp;hl=ru" TargetMode="External"/><Relationship Id="rId5" Type="http://schemas.openxmlformats.org/officeDocument/2006/relationships/hyperlink" Target="https://www.alsa.com/en" TargetMode="External"/><Relationship Id="rId6" Type="http://schemas.openxmlformats.org/officeDocument/2006/relationships/hyperlink" Target="https://rail.ninja/train/cp-train?utm_source=google&amp;utm_medium=cpc&amp;utm_campaign=RN_DSA_Lan_EN_Ta_EU&amp;utm_content=735183752399&amp;utm_term=&amp;gad_source=1&amp;gad_campaignid=20517683728&amp;gbraid=0AAAAADcrsaaaioJSA4TUvMEEpB9CRYXs8&amp;gclid=Cj0KCQiA6sjKBhCSARIsAJvYcpMick5PPTTJ-bcHCQP8zTbcdGEs-DqU4RE4mktJCDOcx_-fKJ_7w9MaAg7SEALw_wcB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pinexpe.ro/alergare-montana/pantofi-alergare/barbati-pantofi-alergare/pantofi-alergare-trail-hoka-challenger-8-jade-truffle-salt-jdt/" TargetMode="External"/><Relationship Id="rId2" Type="http://schemas.openxmlformats.org/officeDocument/2006/relationships/hyperlink" Target="https://www.sportvision.ro/pantofi-sport/527116-hoka-pantofi-sport-challenger-8" TargetMode="External"/><Relationship Id="rId3" Type="http://schemas.openxmlformats.org/officeDocument/2006/relationships/hyperlink" Target="https://rozetka.com.ua/ua/hoka-one-one-197634704210/p474046759/" TargetMode="External"/><Relationship Id="rId4" Type="http://schemas.openxmlformats.org/officeDocument/2006/relationships/hyperlink" Target="https://stonefeet.ro/incaltaminte-alergare-barbati-hoka-challenger-8-maple-cardamom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2.71"/>
    <col customWidth="1" min="3" max="3" width="7.57"/>
    <col customWidth="1" min="4" max="4" width="17.14"/>
    <col customWidth="1" min="5" max="5" width="18.14"/>
    <col customWidth="1" min="6" max="6" width="5.29"/>
    <col customWidth="1" min="7" max="7" width="15.29"/>
    <col customWidth="1" min="8" max="8" width="4.71"/>
    <col customWidth="1" min="9" max="9" width="21.86"/>
    <col customWidth="1" min="10" max="11" width="12.57"/>
    <col customWidth="1" min="12" max="12" width="8.71"/>
    <col customWidth="1" min="13" max="13" width="22.71"/>
    <col customWidth="1" min="14" max="14" width="15.29"/>
    <col customWidth="1" min="15" max="15" width="18.29"/>
    <col customWidth="1" min="16" max="27" width="8.71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1"/>
      <c r="B2" s="2" t="str">
        <f>"До поїдки залишилось: " &amp; INT(B5-NOW()) &amp; " дн. " &amp; HOUR(B5-NOW()) &amp; "г " &amp; TEXT(MINUTE(B5-NOW()), "00") &amp; "хв"</f>
        <v>До поїдки залишилось: 61 дн. 1г 05хв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5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7"/>
      <c r="C4" s="8"/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hidden="1" customHeight="1">
      <c r="A5" s="1"/>
      <c r="B5" s="10">
        <v>46214.375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1" t="s">
        <v>0</v>
      </c>
      <c r="B6" s="12"/>
      <c r="C6" s="12"/>
      <c r="D6" s="13"/>
      <c r="E6" s="14" t="s">
        <v>1</v>
      </c>
      <c r="F6" s="15"/>
      <c r="G6" s="15"/>
      <c r="H6" s="16"/>
      <c r="I6" s="14" t="s">
        <v>2</v>
      </c>
      <c r="J6" s="15"/>
      <c r="K6" s="17"/>
      <c r="L6" s="14" t="s">
        <v>3</v>
      </c>
      <c r="M6" s="15"/>
      <c r="N6" s="15"/>
      <c r="O6" s="17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4.75" customHeight="1">
      <c r="A7" s="18" t="s">
        <v>4</v>
      </c>
      <c r="B7" s="18" t="s">
        <v>5</v>
      </c>
      <c r="C7" s="18" t="s">
        <v>6</v>
      </c>
      <c r="D7" s="19" t="s">
        <v>7</v>
      </c>
      <c r="E7" s="20" t="s">
        <v>1</v>
      </c>
      <c r="F7" s="21" t="s">
        <v>8</v>
      </c>
      <c r="G7" s="21" t="s">
        <v>1</v>
      </c>
      <c r="H7" s="21" t="s">
        <v>8</v>
      </c>
      <c r="I7" s="20" t="s">
        <v>2</v>
      </c>
      <c r="J7" s="22"/>
      <c r="K7" s="23" t="s">
        <v>2</v>
      </c>
      <c r="L7" s="20" t="s">
        <v>9</v>
      </c>
      <c r="M7" s="21" t="s">
        <v>10</v>
      </c>
      <c r="N7" s="21" t="s">
        <v>9</v>
      </c>
      <c r="O7" s="23" t="s">
        <v>10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4" t="s">
        <v>11</v>
      </c>
      <c r="B8" s="24" t="s">
        <v>12</v>
      </c>
      <c r="C8" s="24"/>
      <c r="D8" s="25" t="s">
        <v>13</v>
      </c>
      <c r="E8" s="26" t="s">
        <v>14</v>
      </c>
      <c r="F8" s="24">
        <v>25.0</v>
      </c>
      <c r="G8" s="27" t="s">
        <v>15</v>
      </c>
      <c r="H8" s="24">
        <v>15.0</v>
      </c>
      <c r="I8" s="26" t="s">
        <v>16</v>
      </c>
      <c r="J8" s="26" t="s">
        <v>17</v>
      </c>
      <c r="K8" s="28" t="s">
        <v>18</v>
      </c>
      <c r="L8" s="26" t="s">
        <v>19</v>
      </c>
      <c r="M8" s="24" t="s">
        <v>20</v>
      </c>
      <c r="N8" s="24"/>
      <c r="O8" s="29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0" t="s">
        <v>21</v>
      </c>
      <c r="B9" s="30" t="s">
        <v>22</v>
      </c>
      <c r="C9" s="30"/>
      <c r="D9" s="31" t="s">
        <v>23</v>
      </c>
      <c r="E9" s="32" t="s">
        <v>14</v>
      </c>
      <c r="F9" s="30">
        <v>25.0</v>
      </c>
      <c r="G9" s="30"/>
      <c r="H9" s="30"/>
      <c r="I9" s="32" t="s">
        <v>24</v>
      </c>
      <c r="J9" s="32" t="s">
        <v>25</v>
      </c>
      <c r="K9" s="33" t="s">
        <v>26</v>
      </c>
      <c r="L9" s="34"/>
      <c r="M9" s="30"/>
      <c r="N9" s="30"/>
      <c r="O9" s="3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4" t="s">
        <v>27</v>
      </c>
      <c r="B10" s="24" t="s">
        <v>28</v>
      </c>
      <c r="C10" s="24" t="s">
        <v>29</v>
      </c>
      <c r="D10" s="36" t="s">
        <v>30</v>
      </c>
      <c r="E10" s="26" t="s">
        <v>31</v>
      </c>
      <c r="F10" s="24">
        <v>15.0</v>
      </c>
      <c r="G10" s="27" t="s">
        <v>32</v>
      </c>
      <c r="H10" s="24">
        <v>15.0</v>
      </c>
      <c r="I10" s="26" t="s">
        <v>33</v>
      </c>
      <c r="J10" s="37"/>
      <c r="K10" s="29"/>
      <c r="L10" s="26" t="s">
        <v>34</v>
      </c>
      <c r="M10" s="24" t="s">
        <v>35</v>
      </c>
      <c r="N10" s="24" t="s">
        <v>36</v>
      </c>
      <c r="O10" s="29" t="s">
        <v>37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0" t="s">
        <v>38</v>
      </c>
      <c r="B11" s="30" t="s">
        <v>39</v>
      </c>
      <c r="C11" s="30" t="s">
        <v>40</v>
      </c>
      <c r="D11" s="31" t="s">
        <v>41</v>
      </c>
      <c r="E11" s="32" t="s">
        <v>42</v>
      </c>
      <c r="F11" s="30">
        <v>15.0</v>
      </c>
      <c r="G11" s="30"/>
      <c r="H11" s="30"/>
      <c r="I11" s="32" t="s">
        <v>43</v>
      </c>
      <c r="J11" s="32" t="s">
        <v>44</v>
      </c>
      <c r="K11" s="35"/>
      <c r="L11" s="34"/>
      <c r="M11" s="30" t="s">
        <v>45</v>
      </c>
      <c r="N11" s="30"/>
      <c r="O11" s="3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4" t="s">
        <v>46</v>
      </c>
      <c r="B12" s="24" t="s">
        <v>47</v>
      </c>
      <c r="C12" s="24" t="s">
        <v>48</v>
      </c>
      <c r="D12" s="36" t="s">
        <v>49</v>
      </c>
      <c r="E12" s="26" t="s">
        <v>50</v>
      </c>
      <c r="F12" s="24">
        <v>15.0</v>
      </c>
      <c r="G12" s="27" t="s">
        <v>51</v>
      </c>
      <c r="H12" s="24">
        <v>20.0</v>
      </c>
      <c r="I12" s="26" t="s">
        <v>52</v>
      </c>
      <c r="J12" s="37"/>
      <c r="K12" s="29"/>
      <c r="L12" s="26" t="s">
        <v>53</v>
      </c>
      <c r="M12" s="24" t="s">
        <v>54</v>
      </c>
      <c r="N12" s="24" t="s">
        <v>55</v>
      </c>
      <c r="O12" s="29" t="s">
        <v>56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0" t="s">
        <v>57</v>
      </c>
      <c r="B13" s="30" t="s">
        <v>58</v>
      </c>
      <c r="C13" s="30" t="s">
        <v>59</v>
      </c>
      <c r="D13" s="31" t="s">
        <v>60</v>
      </c>
      <c r="E13" s="32" t="s">
        <v>61</v>
      </c>
      <c r="F13" s="30">
        <v>15.0</v>
      </c>
      <c r="G13" s="38" t="s">
        <v>62</v>
      </c>
      <c r="H13" s="30">
        <v>10.0</v>
      </c>
      <c r="I13" s="34" t="s">
        <v>63</v>
      </c>
      <c r="J13" s="33" t="s">
        <v>64</v>
      </c>
      <c r="K13" s="33" t="s">
        <v>65</v>
      </c>
      <c r="L13" s="32" t="s">
        <v>66</v>
      </c>
      <c r="M13" s="30" t="s">
        <v>67</v>
      </c>
      <c r="N13" s="30" t="s">
        <v>68</v>
      </c>
      <c r="O13" s="35" t="s">
        <v>69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9" t="s">
        <v>70</v>
      </c>
      <c r="B14" s="39" t="s">
        <v>71</v>
      </c>
      <c r="C14" s="40" t="s">
        <v>72</v>
      </c>
      <c r="D14" s="41" t="s">
        <v>73</v>
      </c>
      <c r="E14" s="42" t="s">
        <v>74</v>
      </c>
      <c r="F14" s="43">
        <v>15.0</v>
      </c>
      <c r="G14" s="42" t="s">
        <v>75</v>
      </c>
      <c r="H14" s="39">
        <v>18.0</v>
      </c>
      <c r="I14" s="26" t="s">
        <v>76</v>
      </c>
      <c r="J14" s="26" t="s">
        <v>77</v>
      </c>
      <c r="K14" s="26" t="s">
        <v>78</v>
      </c>
      <c r="L14" s="26" t="s">
        <v>76</v>
      </c>
      <c r="M14" s="24" t="s">
        <v>79</v>
      </c>
      <c r="N14" s="24"/>
      <c r="O14" s="2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4"/>
      <c r="B15" s="44"/>
      <c r="C15" s="44"/>
      <c r="D15" s="45"/>
      <c r="E15" s="44"/>
      <c r="F15" s="46"/>
      <c r="G15" s="44"/>
      <c r="H15" s="44"/>
      <c r="I15" s="26" t="s">
        <v>80</v>
      </c>
      <c r="J15" s="37"/>
      <c r="K15" s="29"/>
      <c r="L15" s="26" t="s">
        <v>77</v>
      </c>
      <c r="M15" s="24" t="s">
        <v>81</v>
      </c>
      <c r="N15" s="27" t="s">
        <v>82</v>
      </c>
      <c r="O15" s="29" t="s">
        <v>83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0" t="s">
        <v>84</v>
      </c>
      <c r="B16" s="30" t="s">
        <v>85</v>
      </c>
      <c r="C16" s="30" t="s">
        <v>86</v>
      </c>
      <c r="D16" s="31" t="s">
        <v>49</v>
      </c>
      <c r="E16" s="32" t="s">
        <v>87</v>
      </c>
      <c r="F16" s="30">
        <v>15.0</v>
      </c>
      <c r="G16" s="38" t="s">
        <v>88</v>
      </c>
      <c r="H16" s="30">
        <v>15.0</v>
      </c>
      <c r="I16" s="34" t="s">
        <v>89</v>
      </c>
      <c r="J16" s="47"/>
      <c r="K16" s="35"/>
      <c r="L16" s="34"/>
      <c r="M16" s="30" t="s">
        <v>90</v>
      </c>
      <c r="N16" s="30"/>
      <c r="O16" s="3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4" t="s">
        <v>91</v>
      </c>
      <c r="B17" s="24" t="s">
        <v>92</v>
      </c>
      <c r="C17" s="24" t="s">
        <v>93</v>
      </c>
      <c r="D17" s="36" t="s">
        <v>94</v>
      </c>
      <c r="E17" s="27" t="s">
        <v>95</v>
      </c>
      <c r="F17" s="24">
        <v>15.0</v>
      </c>
      <c r="G17" s="24"/>
      <c r="H17" s="24"/>
      <c r="I17" s="26" t="s">
        <v>96</v>
      </c>
      <c r="J17" s="37"/>
      <c r="K17" s="28" t="s">
        <v>97</v>
      </c>
      <c r="L17" s="26" t="s">
        <v>98</v>
      </c>
      <c r="M17" s="24" t="s">
        <v>99</v>
      </c>
      <c r="N17" s="24"/>
      <c r="O17" s="2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0" t="s">
        <v>100</v>
      </c>
      <c r="B18" s="30" t="s">
        <v>101</v>
      </c>
      <c r="C18" s="30" t="s">
        <v>102</v>
      </c>
      <c r="D18" s="31" t="s">
        <v>103</v>
      </c>
      <c r="E18" s="38" t="s">
        <v>104</v>
      </c>
      <c r="F18" s="30">
        <v>15.0</v>
      </c>
      <c r="G18" s="38" t="s">
        <v>105</v>
      </c>
      <c r="H18" s="30">
        <v>15.0</v>
      </c>
      <c r="I18" s="32" t="s">
        <v>106</v>
      </c>
      <c r="J18" s="32" t="s">
        <v>107</v>
      </c>
      <c r="K18" s="33" t="s">
        <v>108</v>
      </c>
      <c r="L18" s="34" t="s">
        <v>109</v>
      </c>
      <c r="M18" s="30" t="s">
        <v>110</v>
      </c>
      <c r="N18" s="30"/>
      <c r="O18" s="3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4" t="s">
        <v>111</v>
      </c>
      <c r="B19" s="24" t="s">
        <v>112</v>
      </c>
      <c r="C19" s="24" t="s">
        <v>113</v>
      </c>
      <c r="D19" s="36" t="s">
        <v>94</v>
      </c>
      <c r="E19" s="27" t="s">
        <v>114</v>
      </c>
      <c r="F19" s="24">
        <v>15.0</v>
      </c>
      <c r="G19" s="24"/>
      <c r="H19" s="24"/>
      <c r="I19" s="26" t="s">
        <v>115</v>
      </c>
      <c r="J19" s="37"/>
      <c r="K19" s="29"/>
      <c r="L19" s="26" t="s">
        <v>116</v>
      </c>
      <c r="M19" s="24" t="s">
        <v>117</v>
      </c>
      <c r="N19" s="24"/>
      <c r="O19" s="2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0" t="s">
        <v>118</v>
      </c>
      <c r="B20" s="30" t="s">
        <v>119</v>
      </c>
      <c r="C20" s="30" t="s">
        <v>120</v>
      </c>
      <c r="D20" s="31" t="s">
        <v>103</v>
      </c>
      <c r="E20" s="34" t="s">
        <v>121</v>
      </c>
      <c r="F20" s="30">
        <v>15.0</v>
      </c>
      <c r="G20" s="30"/>
      <c r="H20" s="30"/>
      <c r="I20" s="32" t="s">
        <v>122</v>
      </c>
      <c r="J20" s="32" t="s">
        <v>123</v>
      </c>
      <c r="K20" s="35"/>
      <c r="L20" s="34"/>
      <c r="M20" s="30" t="s">
        <v>124</v>
      </c>
      <c r="N20" s="30"/>
      <c r="O20" s="3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4" t="s">
        <v>125</v>
      </c>
      <c r="B21" s="24" t="s">
        <v>126</v>
      </c>
      <c r="C21" s="24" t="s">
        <v>127</v>
      </c>
      <c r="D21" s="36" t="s">
        <v>94</v>
      </c>
      <c r="E21" s="27" t="s">
        <v>128</v>
      </c>
      <c r="F21" s="24">
        <v>15.0</v>
      </c>
      <c r="G21" s="27" t="s">
        <v>129</v>
      </c>
      <c r="H21" s="24">
        <v>10.0</v>
      </c>
      <c r="I21" s="26" t="s">
        <v>130</v>
      </c>
      <c r="J21" s="37" t="s">
        <v>131</v>
      </c>
      <c r="K21" s="29" t="s">
        <v>132</v>
      </c>
      <c r="L21" s="26" t="s">
        <v>133</v>
      </c>
      <c r="M21" s="24" t="s">
        <v>134</v>
      </c>
      <c r="N21" s="24"/>
      <c r="O21" s="2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8">
        <v>24.07</v>
      </c>
      <c r="B22" s="30" t="s">
        <v>135</v>
      </c>
      <c r="C22" s="30"/>
      <c r="D22" s="31" t="s">
        <v>136</v>
      </c>
      <c r="E22" s="32" t="s">
        <v>128</v>
      </c>
      <c r="F22" s="30">
        <v>15.0</v>
      </c>
      <c r="G22" s="38" t="s">
        <v>129</v>
      </c>
      <c r="H22" s="30">
        <v>10.0</v>
      </c>
      <c r="I22" s="32" t="s">
        <v>137</v>
      </c>
      <c r="J22" s="49" t="s">
        <v>138</v>
      </c>
      <c r="K22" s="35"/>
      <c r="L22" s="34" t="s">
        <v>139</v>
      </c>
      <c r="M22" s="30" t="s">
        <v>140</v>
      </c>
      <c r="N22" s="30"/>
      <c r="O22" s="3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50">
        <v>25.07</v>
      </c>
      <c r="B23" s="24" t="s">
        <v>141</v>
      </c>
      <c r="C23" s="24"/>
      <c r="D23" s="36"/>
      <c r="E23" s="51"/>
      <c r="F23" s="24"/>
      <c r="G23" s="24"/>
      <c r="H23" s="24"/>
      <c r="I23" s="51"/>
      <c r="J23" s="37"/>
      <c r="K23" s="29"/>
      <c r="L23" s="51"/>
      <c r="M23" s="24"/>
      <c r="N23" s="24"/>
      <c r="O23" s="2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0" t="s">
        <v>142</v>
      </c>
      <c r="B24" s="30"/>
      <c r="C24" s="30">
        <f>C10+C11+C12+C13+C14+C15+C16+C17+C18+C19+C20+C21</f>
        <v>261</v>
      </c>
      <c r="D24" s="31"/>
      <c r="E24" s="52"/>
      <c r="F24" s="53"/>
      <c r="G24" s="53"/>
      <c r="H24" s="53"/>
      <c r="I24" s="52"/>
      <c r="J24" s="54"/>
      <c r="K24" s="55"/>
      <c r="L24" s="52"/>
      <c r="M24" s="53"/>
      <c r="N24" s="53"/>
      <c r="O24" s="5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30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30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30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30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30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30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30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30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30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30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30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30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30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30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30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30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30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30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30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30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30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3">
    <mergeCell ref="C14:C15"/>
    <mergeCell ref="D14:D15"/>
    <mergeCell ref="E14:E15"/>
    <mergeCell ref="F14:F15"/>
    <mergeCell ref="G14:G15"/>
    <mergeCell ref="H14:H15"/>
    <mergeCell ref="B2:D4"/>
    <mergeCell ref="A6:D6"/>
    <mergeCell ref="E6:H6"/>
    <mergeCell ref="I6:K6"/>
    <mergeCell ref="L6:O6"/>
    <mergeCell ref="A14:A15"/>
    <mergeCell ref="B14:B15"/>
  </mergeCells>
  <hyperlinks>
    <hyperlink r:id="rId2" ref="E8"/>
    <hyperlink r:id="rId3" ref="G8"/>
    <hyperlink r:id="rId4" ref="I8"/>
    <hyperlink r:id="rId5" ref="J8"/>
    <hyperlink r:id="rId6" ref="K8"/>
    <hyperlink r:id="rId7" ref="L8"/>
    <hyperlink r:id="rId8" ref="E9"/>
    <hyperlink r:id="rId9" ref="I9"/>
    <hyperlink r:id="rId10" ref="J9"/>
    <hyperlink r:id="rId11" ref="K9"/>
    <hyperlink r:id="rId12" ref="E10"/>
    <hyperlink r:id="rId13" ref="G10"/>
    <hyperlink r:id="rId14" ref="I10"/>
    <hyperlink r:id="rId15" ref="L10"/>
    <hyperlink r:id="rId16" ref="E11"/>
    <hyperlink r:id="rId17" ref="I11"/>
    <hyperlink r:id="rId18" ref="J11"/>
    <hyperlink r:id="rId19" ref="E12"/>
    <hyperlink r:id="rId20" ref="G12"/>
    <hyperlink r:id="rId21" ref="I12"/>
    <hyperlink r:id="rId22" ref="L12"/>
    <hyperlink r:id="rId23" ref="E13"/>
    <hyperlink r:id="rId24" ref="G13"/>
    <hyperlink r:id="rId25" ref="J13"/>
    <hyperlink r:id="rId26" ref="K13"/>
    <hyperlink r:id="rId27" ref="L13"/>
    <hyperlink r:id="rId28" ref="E14"/>
    <hyperlink r:id="rId29" ref="G14"/>
    <hyperlink r:id="rId30" ref="I14"/>
    <hyperlink r:id="rId31" ref="J14"/>
    <hyperlink r:id="rId32" ref="K14"/>
    <hyperlink r:id="rId33" ref="L14"/>
    <hyperlink r:id="rId34" ref="I15"/>
    <hyperlink r:id="rId35" ref="L15"/>
    <hyperlink r:id="rId36" ref="N15"/>
    <hyperlink r:id="rId37" ref="E16"/>
    <hyperlink r:id="rId38" ref="G16"/>
    <hyperlink r:id="rId39" ref="E17"/>
    <hyperlink r:id="rId40" ref="I17"/>
    <hyperlink r:id="rId41" ref="K17"/>
    <hyperlink r:id="rId42" ref="L17"/>
    <hyperlink r:id="rId43" ref="E18"/>
    <hyperlink r:id="rId44" ref="G18"/>
    <hyperlink r:id="rId45" ref="I18"/>
    <hyperlink r:id="rId46" ref="J18"/>
    <hyperlink r:id="rId47" ref="K18"/>
    <hyperlink r:id="rId48" ref="E19"/>
    <hyperlink r:id="rId49" ref="I19"/>
    <hyperlink r:id="rId50" ref="L19"/>
    <hyperlink r:id="rId51" ref="I20"/>
    <hyperlink r:id="rId52" ref="J20"/>
    <hyperlink r:id="rId53" ref="E21"/>
    <hyperlink r:id="rId54" ref="G21"/>
    <hyperlink r:id="rId55" ref="I21"/>
    <hyperlink r:id="rId56" ref="L21"/>
    <hyperlink r:id="rId57" ref="E22"/>
    <hyperlink r:id="rId58" ref="G22"/>
    <hyperlink r:id="rId59" ref="I22"/>
  </hyperlinks>
  <printOptions/>
  <pageMargins bottom="1.0" footer="0.0" header="0.0" left="0.75" right="0.75" top="1.0"/>
  <pageSetup orientation="landscape"/>
  <drawing r:id="rId60"/>
  <legacy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0"/>
    <col customWidth="1" min="3" max="26" width="8.71"/>
  </cols>
  <sheetData>
    <row r="1" ht="14.25" customHeight="1">
      <c r="B1" s="56" t="str">
        <f>'Маршрут'!A6</f>
        <v>📍 Camino Português da Costa</v>
      </c>
      <c r="C1" s="57"/>
      <c r="D1" s="57"/>
      <c r="E1" s="57"/>
      <c r="F1" s="58"/>
      <c r="H1" s="59"/>
    </row>
    <row r="2">
      <c r="B2" s="60"/>
      <c r="F2" s="61"/>
      <c r="H2" s="59"/>
    </row>
    <row r="3" ht="14.25" customHeight="1">
      <c r="B3" s="62"/>
      <c r="C3" s="63" t="s">
        <v>143</v>
      </c>
      <c r="D3" s="63" t="s">
        <v>144</v>
      </c>
      <c r="E3" s="63" t="s">
        <v>145</v>
      </c>
      <c r="F3" s="63" t="s">
        <v>146</v>
      </c>
      <c r="H3" s="59" t="s">
        <v>147</v>
      </c>
    </row>
    <row r="4" ht="14.25" customHeight="1">
      <c r="B4" s="62" t="s">
        <v>148</v>
      </c>
      <c r="C4" s="62" t="b">
        <v>1</v>
      </c>
      <c r="D4" s="62" t="b">
        <v>1</v>
      </c>
      <c r="E4" s="62" t="b">
        <v>0</v>
      </c>
      <c r="F4" s="62" t="b">
        <v>1</v>
      </c>
      <c r="H4" s="1"/>
      <c r="J4" s="1"/>
      <c r="L4" s="1"/>
      <c r="N4" s="1"/>
      <c r="R4" s="1"/>
    </row>
    <row r="5" ht="14.25" customHeight="1">
      <c r="B5" s="62" t="s">
        <v>149</v>
      </c>
      <c r="C5" s="62" t="b">
        <v>0</v>
      </c>
      <c r="D5" s="62" t="b">
        <v>1</v>
      </c>
      <c r="E5" s="62" t="b">
        <v>1</v>
      </c>
      <c r="F5" s="62" t="b">
        <v>1</v>
      </c>
      <c r="H5" s="64" t="s">
        <v>150</v>
      </c>
      <c r="J5" s="64" t="s">
        <v>151</v>
      </c>
      <c r="L5" s="64" t="s">
        <v>152</v>
      </c>
      <c r="N5" s="64" t="s">
        <v>153</v>
      </c>
      <c r="P5" s="65" t="s">
        <v>154</v>
      </c>
      <c r="R5" s="65" t="s">
        <v>155</v>
      </c>
      <c r="T5" s="65" t="s">
        <v>156</v>
      </c>
      <c r="V5" s="65" t="s">
        <v>157</v>
      </c>
      <c r="X5" s="64" t="s">
        <v>158</v>
      </c>
    </row>
    <row r="6" ht="14.25" customHeight="1">
      <c r="B6" s="62" t="s">
        <v>159</v>
      </c>
      <c r="C6" s="62" t="b">
        <v>1</v>
      </c>
      <c r="D6" s="62" t="b">
        <v>1</v>
      </c>
      <c r="E6" s="62" t="b">
        <v>0</v>
      </c>
      <c r="F6" s="62" t="b">
        <v>1</v>
      </c>
      <c r="H6" s="1" t="s">
        <v>160</v>
      </c>
    </row>
    <row r="7" ht="14.25" customHeight="1">
      <c r="B7" s="62" t="s">
        <v>161</v>
      </c>
      <c r="C7" s="62" t="b">
        <v>0</v>
      </c>
      <c r="D7" s="62" t="b">
        <v>0</v>
      </c>
      <c r="E7" s="62" t="b">
        <v>0</v>
      </c>
      <c r="F7" s="62" t="b">
        <v>1</v>
      </c>
      <c r="H7" s="66" t="s">
        <v>162</v>
      </c>
    </row>
    <row r="8" ht="14.25" customHeight="1">
      <c r="B8" s="62" t="s">
        <v>163</v>
      </c>
      <c r="C8" s="62" t="b">
        <v>0</v>
      </c>
      <c r="D8" s="62" t="b">
        <v>0</v>
      </c>
      <c r="E8" s="62" t="b">
        <v>0</v>
      </c>
      <c r="F8" s="62" t="b">
        <v>0</v>
      </c>
      <c r="H8" s="1" t="s">
        <v>164</v>
      </c>
      <c r="J8" s="1" t="s">
        <v>165</v>
      </c>
      <c r="N8" s="1" t="s">
        <v>166</v>
      </c>
      <c r="R8" s="1" t="s">
        <v>167</v>
      </c>
    </row>
    <row r="9" ht="14.25" customHeight="1">
      <c r="B9" s="62" t="s">
        <v>168</v>
      </c>
      <c r="C9" s="62" t="b">
        <v>0</v>
      </c>
      <c r="D9" s="62" t="b">
        <v>0</v>
      </c>
      <c r="E9" s="62" t="b">
        <v>0</v>
      </c>
      <c r="F9" s="62" t="b">
        <v>1</v>
      </c>
    </row>
    <row r="10" ht="14.25" customHeight="1">
      <c r="B10" s="62" t="s">
        <v>169</v>
      </c>
      <c r="C10" s="62" t="b">
        <v>0</v>
      </c>
      <c r="D10" s="62" t="b">
        <v>0</v>
      </c>
      <c r="E10" s="62" t="b">
        <v>0</v>
      </c>
      <c r="F10" s="62" t="b">
        <v>1</v>
      </c>
    </row>
    <row r="11" ht="14.25" customHeight="1">
      <c r="B11" s="62" t="s">
        <v>170</v>
      </c>
      <c r="C11" s="62" t="b">
        <v>0</v>
      </c>
      <c r="D11" s="62" t="b">
        <v>0</v>
      </c>
      <c r="E11" s="62" t="b">
        <v>0</v>
      </c>
      <c r="F11" s="67" t="b">
        <v>1</v>
      </c>
      <c r="H11" s="1" t="s">
        <v>171</v>
      </c>
      <c r="J11" s="64" t="s">
        <v>172</v>
      </c>
    </row>
    <row r="12" ht="14.25" customHeight="1">
      <c r="B12" s="62" t="s">
        <v>173</v>
      </c>
      <c r="C12" s="62" t="b">
        <v>0</v>
      </c>
      <c r="D12" s="62" t="b">
        <v>0</v>
      </c>
      <c r="E12" s="62" t="b">
        <v>0</v>
      </c>
      <c r="F12" s="67" t="b">
        <v>0</v>
      </c>
      <c r="H12" s="64" t="s">
        <v>174</v>
      </c>
    </row>
    <row r="13" ht="14.25" customHeight="1">
      <c r="B13" s="62" t="s">
        <v>175</v>
      </c>
      <c r="C13" s="62" t="b">
        <v>0</v>
      </c>
      <c r="D13" s="62" t="b">
        <v>0</v>
      </c>
      <c r="E13" s="62" t="b">
        <v>0</v>
      </c>
      <c r="F13" s="62" t="b">
        <v>0</v>
      </c>
    </row>
    <row r="14" ht="14.25" customHeight="1">
      <c r="B14" s="62" t="s">
        <v>176</v>
      </c>
      <c r="C14" s="62" t="b">
        <v>0</v>
      </c>
      <c r="D14" s="62" t="b">
        <v>0</v>
      </c>
      <c r="E14" s="62" t="b">
        <v>0</v>
      </c>
      <c r="F14" s="62" t="b">
        <v>1</v>
      </c>
    </row>
    <row r="15" ht="14.25" customHeight="1">
      <c r="B15" s="62" t="s">
        <v>177</v>
      </c>
      <c r="C15" s="62" t="b">
        <v>0</v>
      </c>
      <c r="D15" s="62" t="b">
        <v>0</v>
      </c>
      <c r="E15" s="62" t="b">
        <v>0</v>
      </c>
      <c r="F15" s="67" t="b">
        <v>0</v>
      </c>
    </row>
    <row r="16" ht="14.25" customHeight="1">
      <c r="B16" s="62" t="s">
        <v>178</v>
      </c>
      <c r="C16" s="62" t="b">
        <v>0</v>
      </c>
      <c r="D16" s="62" t="b">
        <v>0</v>
      </c>
      <c r="E16" s="62" t="b">
        <v>0</v>
      </c>
      <c r="F16" s="62" t="b">
        <v>1</v>
      </c>
    </row>
    <row r="17" ht="14.25" customHeight="1">
      <c r="B17" s="62" t="s">
        <v>179</v>
      </c>
      <c r="C17" s="62" t="b">
        <v>0</v>
      </c>
      <c r="D17" s="62" t="b">
        <v>0</v>
      </c>
      <c r="E17" s="62" t="b">
        <v>0</v>
      </c>
      <c r="F17" s="62" t="b">
        <v>1</v>
      </c>
      <c r="H17" s="1" t="s">
        <v>180</v>
      </c>
    </row>
    <row r="18" ht="14.25" customHeight="1">
      <c r="B18" s="62" t="s">
        <v>181</v>
      </c>
      <c r="C18" s="62" t="b">
        <v>0</v>
      </c>
      <c r="D18" s="62" t="b">
        <v>0</v>
      </c>
      <c r="E18" s="62" t="b">
        <v>0</v>
      </c>
      <c r="F18" s="62" t="b">
        <v>1</v>
      </c>
    </row>
    <row r="19" ht="14.25" customHeight="1">
      <c r="B19" s="62" t="s">
        <v>182</v>
      </c>
      <c r="C19" s="62" t="b">
        <v>1</v>
      </c>
      <c r="D19" s="62" t="b">
        <v>1</v>
      </c>
      <c r="E19" s="62" t="b">
        <v>0</v>
      </c>
      <c r="F19" s="62" t="b">
        <v>1</v>
      </c>
    </row>
    <row r="20" ht="14.25" customHeight="1">
      <c r="B20" s="62" t="s">
        <v>183</v>
      </c>
      <c r="C20" s="62" t="b">
        <v>1</v>
      </c>
      <c r="D20" s="62" t="b">
        <v>1</v>
      </c>
      <c r="E20" s="62" t="b">
        <v>0</v>
      </c>
      <c r="F20" s="62" t="b">
        <v>1</v>
      </c>
    </row>
    <row r="21" ht="14.25" customHeight="1">
      <c r="B21" s="62" t="s">
        <v>184</v>
      </c>
      <c r="C21" s="62" t="b">
        <v>0</v>
      </c>
      <c r="D21" s="62" t="b">
        <v>0</v>
      </c>
      <c r="E21" s="62" t="b">
        <v>0</v>
      </c>
      <c r="F21" s="62" t="b">
        <v>1</v>
      </c>
    </row>
    <row r="22" ht="14.25" customHeight="1">
      <c r="B22" s="62" t="s">
        <v>185</v>
      </c>
      <c r="C22" s="62" t="b">
        <v>0</v>
      </c>
      <c r="D22" s="62" t="b">
        <v>0</v>
      </c>
      <c r="E22" s="62" t="b">
        <v>0</v>
      </c>
      <c r="F22" s="62" t="b">
        <v>1</v>
      </c>
    </row>
    <row r="23" ht="14.25" customHeight="1">
      <c r="B23" s="62" t="s">
        <v>186</v>
      </c>
      <c r="C23" s="62" t="b">
        <v>0</v>
      </c>
      <c r="D23" s="62" t="b">
        <v>0</v>
      </c>
      <c r="E23" s="62" t="b">
        <v>0</v>
      </c>
      <c r="F23" s="67" t="b">
        <v>1</v>
      </c>
    </row>
    <row r="24" ht="14.25" customHeight="1">
      <c r="B24" s="62" t="s">
        <v>187</v>
      </c>
      <c r="C24" s="62" t="b">
        <v>0</v>
      </c>
      <c r="D24" s="62" t="b">
        <v>0</v>
      </c>
      <c r="E24" s="62" t="b">
        <v>0</v>
      </c>
      <c r="F24" s="62" t="b">
        <v>1</v>
      </c>
    </row>
    <row r="25" ht="14.25" customHeight="1">
      <c r="B25" s="62" t="s">
        <v>188</v>
      </c>
      <c r="C25" s="62" t="b">
        <v>0</v>
      </c>
      <c r="D25" s="62" t="b">
        <v>0</v>
      </c>
      <c r="E25" s="62" t="b">
        <v>0</v>
      </c>
      <c r="F25" s="62" t="b">
        <v>1</v>
      </c>
    </row>
    <row r="26" ht="14.25" customHeight="1">
      <c r="B26" s="62" t="s">
        <v>189</v>
      </c>
      <c r="C26" s="62" t="b">
        <v>0</v>
      </c>
      <c r="D26" s="62" t="b">
        <v>0</v>
      </c>
      <c r="E26" s="62" t="b">
        <v>0</v>
      </c>
      <c r="F26" s="62" t="b">
        <v>1</v>
      </c>
    </row>
    <row r="27" ht="14.25" customHeight="1">
      <c r="B27" s="62" t="s">
        <v>190</v>
      </c>
      <c r="C27" s="62" t="b">
        <v>0</v>
      </c>
      <c r="D27" s="62" t="b">
        <v>0</v>
      </c>
      <c r="E27" s="62" t="b">
        <v>0</v>
      </c>
      <c r="F27" s="62" t="b">
        <v>1</v>
      </c>
    </row>
    <row r="28" ht="14.25" customHeight="1">
      <c r="B28" s="62" t="s">
        <v>191</v>
      </c>
      <c r="C28" s="62" t="b">
        <v>0</v>
      </c>
      <c r="D28" s="62" t="b">
        <v>0</v>
      </c>
      <c r="E28" s="62" t="b">
        <v>0</v>
      </c>
      <c r="F28" s="62" t="b">
        <v>1</v>
      </c>
    </row>
    <row r="29" ht="14.25" customHeight="1">
      <c r="B29" s="62" t="s">
        <v>192</v>
      </c>
      <c r="C29" s="62" t="b">
        <v>0</v>
      </c>
      <c r="D29" s="62" t="b">
        <v>0</v>
      </c>
      <c r="E29" s="62" t="b">
        <v>0</v>
      </c>
      <c r="F29" s="62" t="b">
        <v>1</v>
      </c>
    </row>
    <row r="30" ht="14.25" customHeight="1">
      <c r="B30" s="62" t="s">
        <v>193</v>
      </c>
      <c r="C30" s="62" t="b">
        <v>0</v>
      </c>
      <c r="D30" s="62" t="b">
        <v>0</v>
      </c>
      <c r="E30" s="62" t="b">
        <v>0</v>
      </c>
      <c r="F30" s="67" t="b">
        <v>0</v>
      </c>
      <c r="H30" s="64" t="s">
        <v>194</v>
      </c>
    </row>
    <row r="31" ht="14.25" customHeight="1">
      <c r="B31" s="62" t="s">
        <v>195</v>
      </c>
      <c r="C31" s="62" t="b">
        <v>0</v>
      </c>
      <c r="D31" s="62" t="b">
        <v>0</v>
      </c>
      <c r="E31" s="62" t="b">
        <v>0</v>
      </c>
      <c r="F31" s="62" t="b">
        <v>1</v>
      </c>
      <c r="H31" s="1" t="s">
        <v>196</v>
      </c>
    </row>
    <row r="32" ht="14.25" customHeight="1">
      <c r="B32" s="62" t="s">
        <v>197</v>
      </c>
      <c r="C32" s="62" t="b">
        <v>0</v>
      </c>
      <c r="D32" s="62" t="b">
        <v>0</v>
      </c>
      <c r="E32" s="62" t="b">
        <v>0</v>
      </c>
      <c r="F32" s="62" t="b">
        <v>1</v>
      </c>
    </row>
    <row r="33">
      <c r="B33" s="68" t="s">
        <v>198</v>
      </c>
      <c r="C33" s="62" t="b">
        <v>1</v>
      </c>
      <c r="D33" s="62" t="b">
        <v>1</v>
      </c>
      <c r="E33" s="62" t="b">
        <v>0</v>
      </c>
      <c r="F33" s="62" t="b">
        <v>1</v>
      </c>
    </row>
    <row r="34">
      <c r="B34" s="68" t="s">
        <v>199</v>
      </c>
      <c r="C34" s="62" t="b">
        <v>0</v>
      </c>
      <c r="D34" s="62" t="b">
        <v>0</v>
      </c>
      <c r="E34" s="62" t="b">
        <v>0</v>
      </c>
      <c r="F34" s="62" t="b">
        <v>0</v>
      </c>
      <c r="H34" s="64" t="s">
        <v>200</v>
      </c>
    </row>
    <row r="35" ht="42.0" customHeight="1">
      <c r="B35" s="68" t="s">
        <v>201</v>
      </c>
      <c r="C35" s="62" t="b">
        <v>0</v>
      </c>
      <c r="D35" s="62" t="b">
        <v>0</v>
      </c>
      <c r="E35" s="62" t="b">
        <v>0</v>
      </c>
      <c r="F35" s="62" t="b">
        <v>0</v>
      </c>
    </row>
    <row r="36" ht="14.25" customHeight="1">
      <c r="B36" s="62" t="s">
        <v>202</v>
      </c>
      <c r="C36" s="62" t="b">
        <v>0</v>
      </c>
      <c r="D36" s="62" t="b">
        <v>0</v>
      </c>
      <c r="E36" s="62" t="b">
        <v>0</v>
      </c>
      <c r="F36" s="62" t="b">
        <v>0</v>
      </c>
    </row>
    <row r="37" ht="14.25" customHeight="1">
      <c r="B37" s="62" t="s">
        <v>203</v>
      </c>
      <c r="C37" s="62" t="b">
        <v>0</v>
      </c>
      <c r="D37" s="62" t="b">
        <v>0</v>
      </c>
      <c r="E37" s="62" t="b">
        <v>0</v>
      </c>
      <c r="F37" s="62" t="b">
        <v>0</v>
      </c>
    </row>
    <row r="38" ht="14.25" customHeight="1">
      <c r="B38" s="62" t="s">
        <v>204</v>
      </c>
      <c r="C38" s="62" t="b">
        <v>0</v>
      </c>
      <c r="D38" s="62" t="b">
        <v>0</v>
      </c>
      <c r="E38" s="62" t="b">
        <v>0</v>
      </c>
      <c r="F38" s="62" t="b">
        <v>0</v>
      </c>
    </row>
    <row r="39" ht="14.25" customHeight="1">
      <c r="B39" s="62" t="s">
        <v>205</v>
      </c>
      <c r="C39" s="62" t="b">
        <v>0</v>
      </c>
      <c r="D39" s="62" t="b">
        <v>0</v>
      </c>
      <c r="E39" s="62" t="b">
        <v>0</v>
      </c>
      <c r="F39" s="62" t="b">
        <v>0</v>
      </c>
    </row>
    <row r="40" ht="14.25" customHeight="1">
      <c r="B40" s="62" t="s">
        <v>206</v>
      </c>
      <c r="C40" s="62" t="b">
        <v>0</v>
      </c>
      <c r="D40" s="62" t="b">
        <v>0</v>
      </c>
      <c r="E40" s="62" t="b">
        <v>0</v>
      </c>
      <c r="F40" s="62" t="b">
        <v>1</v>
      </c>
    </row>
    <row r="41" ht="14.25" customHeight="1">
      <c r="B41" s="62" t="s">
        <v>207</v>
      </c>
      <c r="C41" s="62" t="b">
        <v>0</v>
      </c>
      <c r="D41" s="62" t="b">
        <v>0</v>
      </c>
      <c r="E41" s="62" t="b">
        <v>0</v>
      </c>
      <c r="F41" s="62" t="b">
        <v>0</v>
      </c>
    </row>
    <row r="42" ht="14.25" customHeight="1">
      <c r="B42" s="62" t="s">
        <v>208</v>
      </c>
      <c r="C42" s="62" t="b">
        <v>0</v>
      </c>
      <c r="D42" s="62" t="b">
        <v>0</v>
      </c>
      <c r="E42" s="62" t="b">
        <v>0</v>
      </c>
      <c r="F42" s="62" t="b">
        <v>0</v>
      </c>
    </row>
    <row r="43" ht="14.25" customHeight="1">
      <c r="B43" s="62" t="s">
        <v>209</v>
      </c>
      <c r="C43" s="62" t="b">
        <v>0</v>
      </c>
      <c r="D43" s="62" t="b">
        <v>0</v>
      </c>
      <c r="E43" s="62" t="b">
        <v>0</v>
      </c>
      <c r="F43" s="62" t="b">
        <v>0</v>
      </c>
    </row>
    <row r="44" ht="14.25" customHeight="1">
      <c r="B44" s="62" t="s">
        <v>210</v>
      </c>
      <c r="C44" s="62" t="b">
        <v>0</v>
      </c>
      <c r="D44" s="62" t="b">
        <v>0</v>
      </c>
      <c r="E44" s="62" t="b">
        <v>0</v>
      </c>
      <c r="F44" s="67" t="b">
        <v>0</v>
      </c>
    </row>
    <row r="45" ht="14.25" customHeight="1">
      <c r="B45" s="62" t="s">
        <v>211</v>
      </c>
      <c r="C45" s="62" t="b">
        <v>0</v>
      </c>
      <c r="D45" s="62" t="b">
        <v>0</v>
      </c>
      <c r="E45" s="62" t="b">
        <v>0</v>
      </c>
      <c r="F45" s="62" t="b">
        <v>1</v>
      </c>
      <c r="H45" s="1"/>
    </row>
    <row r="46" ht="14.25" customHeight="1">
      <c r="B46" s="62" t="s">
        <v>212</v>
      </c>
      <c r="C46" s="62" t="b">
        <v>0</v>
      </c>
      <c r="D46" s="62" t="b">
        <v>0</v>
      </c>
      <c r="E46" s="62" t="b">
        <v>0</v>
      </c>
      <c r="F46" s="62" t="b">
        <v>1</v>
      </c>
      <c r="H46" s="1" t="s">
        <v>213</v>
      </c>
    </row>
    <row r="47" ht="14.25" customHeight="1">
      <c r="B47" s="62" t="s">
        <v>214</v>
      </c>
      <c r="C47" s="62" t="b">
        <v>0</v>
      </c>
      <c r="D47" s="62" t="b">
        <v>0</v>
      </c>
      <c r="E47" s="62" t="b">
        <v>0</v>
      </c>
      <c r="F47" s="62" t="b">
        <v>0</v>
      </c>
    </row>
    <row r="48" ht="14.25" customHeight="1">
      <c r="B48" s="62" t="s">
        <v>215</v>
      </c>
      <c r="C48" s="62" t="b">
        <v>0</v>
      </c>
      <c r="D48" s="62" t="b">
        <v>0</v>
      </c>
      <c r="E48" s="62" t="b">
        <v>0</v>
      </c>
      <c r="F48" s="62" t="b">
        <v>0</v>
      </c>
    </row>
    <row r="49" ht="14.25" customHeight="1">
      <c r="B49" s="62" t="s">
        <v>216</v>
      </c>
      <c r="C49" s="62" t="b">
        <v>0</v>
      </c>
      <c r="D49" s="62" t="b">
        <v>0</v>
      </c>
      <c r="E49" s="62" t="b">
        <v>0</v>
      </c>
      <c r="F49" s="62" t="b">
        <v>0</v>
      </c>
      <c r="H49" s="1" t="s">
        <v>217</v>
      </c>
    </row>
    <row r="50" ht="14.25" customHeight="1">
      <c r="B50" s="62" t="s">
        <v>218</v>
      </c>
      <c r="C50" s="62" t="b">
        <v>0</v>
      </c>
      <c r="D50" s="62" t="b">
        <v>0</v>
      </c>
      <c r="E50" s="62" t="b">
        <v>0</v>
      </c>
      <c r="F50" s="62" t="b">
        <v>0</v>
      </c>
      <c r="H50" s="1" t="s">
        <v>219</v>
      </c>
    </row>
    <row r="51" ht="14.25" customHeight="1">
      <c r="B51" s="62" t="s">
        <v>220</v>
      </c>
      <c r="C51" s="62" t="b">
        <v>0</v>
      </c>
      <c r="D51" s="62" t="b">
        <v>0</v>
      </c>
      <c r="E51" s="62" t="b">
        <v>0</v>
      </c>
      <c r="F51" s="62" t="b">
        <v>0</v>
      </c>
      <c r="H51" s="1" t="s">
        <v>219</v>
      </c>
    </row>
    <row r="52" ht="14.25" customHeight="1">
      <c r="B52" s="62" t="s">
        <v>221</v>
      </c>
      <c r="C52" s="62" t="b">
        <v>0</v>
      </c>
      <c r="D52" s="62" t="b">
        <v>0</v>
      </c>
      <c r="E52" s="62" t="b">
        <v>0</v>
      </c>
      <c r="F52" s="62" t="b">
        <v>0</v>
      </c>
    </row>
    <row r="53" ht="14.25" customHeight="1"/>
    <row r="54" ht="14.25" customHeight="1"/>
    <row r="55" ht="14.25" customHeight="1">
      <c r="B55" s="1" t="s">
        <v>222</v>
      </c>
      <c r="C55" s="69" t="s">
        <v>223</v>
      </c>
      <c r="D55" s="66" t="s">
        <v>224</v>
      </c>
      <c r="G55" s="64" t="s">
        <v>225</v>
      </c>
      <c r="J55" s="69" t="s">
        <v>226</v>
      </c>
      <c r="K55" s="64" t="s">
        <v>224</v>
      </c>
      <c r="N55" s="64" t="s">
        <v>225</v>
      </c>
    </row>
    <row r="56" ht="14.25" customHeight="1">
      <c r="D56" s="1" t="str">
        <f>_xludf.IMAGE("https://api.qrserver.com/v1/create-qr-code/?size=200x200&amp;data=" &amp; _xludf.ENCODEURL("https://apps.apple.com/es/app/buen-camino-de-santiago-app/id858222947"))</f>
        <v>#NAME?</v>
      </c>
      <c r="G56" s="1" t="str">
        <f>_xludf.IMAGE("https://api.qrserver.com/v1/create-qr-code/?size=200x200&amp;data=" &amp; _xludf.ENCODEURL("https://apps.apple.com/us/app/camino-ninja-app/id1491232190"))</f>
        <v>#NAME?</v>
      </c>
      <c r="K56" s="1" t="str">
        <f>_xludf.IMAGE("https://api.qrserver.com/v1/create-qr-code/?size=200x200&amp;data=" &amp; _xludf.ENCODEURL("https://play.google.com/store/apps/details?id=com.editorialbuencamino.buencamino"))</f>
        <v>#NAME?</v>
      </c>
      <c r="N56" s="1" t="str">
        <f>_xludf.IMAGE("https://api.qrserver.com/v1/create-qr-code/?size=200x200&amp;data=" &amp; _xludf.ENCODEURL("https://play.google.com/store/apps/details?id=ninja.camino.app"))</f>
        <v>#NAME?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</sheetData>
  <mergeCells count="7">
    <mergeCell ref="B1:F2"/>
    <mergeCell ref="C55:C63"/>
    <mergeCell ref="J55:J63"/>
    <mergeCell ref="D56:F63"/>
    <mergeCell ref="G56:I63"/>
    <mergeCell ref="K56:M63"/>
    <mergeCell ref="N56:P63"/>
  </mergeCells>
  <hyperlinks>
    <hyperlink r:id="rId2" location="albastru" ref="H5"/>
    <hyperlink r:id="rId3" ref="J5"/>
    <hyperlink r:id="rId4" ref="L5"/>
    <hyperlink r:id="rId5" location="m-l-albastru-inchis" ref="N5"/>
    <hyperlink r:id="rId6" ref="X5"/>
    <hyperlink r:id="rId7" ref="H7"/>
    <hyperlink r:id="rId8" ref="J11"/>
    <hyperlink r:id="rId9" ref="H12"/>
    <hyperlink r:id="rId10" ref="H30"/>
    <hyperlink r:id="rId11" ref="H34"/>
    <hyperlink r:id="rId12" ref="D55"/>
    <hyperlink r:id="rId13" ref="G55"/>
    <hyperlink r:id="rId14" ref="K55"/>
    <hyperlink r:id="rId15" ref="N55"/>
  </hyperlinks>
  <printOptions/>
  <pageMargins bottom="0.75" footer="0.0" header="0.0" left="0.7" right="0.7" top="0.75"/>
  <pageSetup orientation="landscape"/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2" max="2" width="30.29"/>
    <col customWidth="1" min="3" max="6" width="10.43"/>
    <col customWidth="1" min="7" max="7" width="16.86"/>
    <col customWidth="1" min="8" max="8" width="9.86"/>
    <col customWidth="1" min="9" max="10" width="16.71"/>
    <col customWidth="1" min="11" max="11" width="17.43"/>
    <col customWidth="1" min="12" max="12" width="18.71"/>
    <col customWidth="1" min="13" max="13" width="17.43"/>
    <col customWidth="1" min="14" max="14" width="16.57"/>
    <col customWidth="1" min="15" max="15" width="8.71"/>
  </cols>
  <sheetData>
    <row r="1" ht="14.25" customHeight="1">
      <c r="A1" s="1"/>
      <c r="B1" s="1"/>
      <c r="C1" s="1"/>
      <c r="D1" s="1"/>
      <c r="E1" s="1"/>
      <c r="F1" s="70"/>
      <c r="G1" s="70"/>
      <c r="H1" s="70"/>
      <c r="I1" s="1"/>
      <c r="J1" s="71" t="str">
        <f>"До поїдки залишилось: " &amp; INT(J4-NOW()) &amp; " дн. " &amp; HOUR(J4-NOW()) &amp; "г " &amp; TEXT(MINUTE(J4-NOW()), "00") &amp; "хв"</f>
        <v>До поїдки залишилось: 61 дн. 1г 05хв</v>
      </c>
      <c r="K1" s="57"/>
      <c r="L1" s="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72"/>
      <c r="G2" s="72"/>
      <c r="H2" s="72"/>
      <c r="I2" s="1"/>
      <c r="J2" s="60"/>
      <c r="L2" s="61"/>
      <c r="M2" s="1"/>
      <c r="N2" s="63" t="s">
        <v>227</v>
      </c>
      <c r="O2" s="63">
        <v>5.1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 outlineLevel="1">
      <c r="A3" s="1"/>
      <c r="B3" s="1"/>
      <c r="C3" s="1"/>
      <c r="D3" s="1"/>
      <c r="E3" s="1"/>
      <c r="F3" s="72"/>
      <c r="G3" s="72"/>
      <c r="H3" s="72"/>
      <c r="I3" s="72"/>
      <c r="J3" s="73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outlineLevel="1">
      <c r="A4" s="1"/>
      <c r="B4" s="1"/>
      <c r="C4" s="1"/>
      <c r="D4" s="1"/>
      <c r="E4" s="1"/>
      <c r="F4" s="72"/>
      <c r="G4" s="72"/>
      <c r="H4" s="72"/>
      <c r="I4" s="72"/>
      <c r="J4" s="76">
        <v>46214.375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62" t="s">
        <v>228</v>
      </c>
      <c r="B5" s="77" t="s">
        <v>229</v>
      </c>
      <c r="C5" s="77" t="s">
        <v>230</v>
      </c>
      <c r="D5" s="77" t="s">
        <v>231</v>
      </c>
      <c r="E5" s="77" t="s">
        <v>232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8" t="str">
        <f>'Маршрут'!A8</f>
        <v>11.07</v>
      </c>
      <c r="B6" s="79" t="str">
        <f>'Маршрут'!B8</f>
        <v>Portu — день прилета</v>
      </c>
      <c r="C6" s="80">
        <v>369.0</v>
      </c>
      <c r="D6" s="81">
        <v>2.0</v>
      </c>
      <c r="E6" s="81">
        <f>C6*D6/O2</f>
        <v>144.7058824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82"/>
      <c r="B7" s="81" t="s">
        <v>233</v>
      </c>
      <c r="C7" s="81"/>
      <c r="D7" s="81">
        <v>2.0</v>
      </c>
      <c r="E7" s="81">
        <f>D7*C7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44"/>
      <c r="B8" s="81" t="s">
        <v>234</v>
      </c>
      <c r="C8" s="81"/>
      <c r="D8" s="81">
        <v>2.0</v>
      </c>
      <c r="E8" s="81">
        <f t="shared" ref="E8:E19" si="1">C8*D8</f>
        <v>0</v>
      </c>
      <c r="F8" s="1"/>
      <c r="G8" s="83"/>
      <c r="H8" s="83"/>
      <c r="I8" s="1"/>
      <c r="J8" s="83"/>
      <c r="K8" s="83"/>
      <c r="L8" s="83"/>
      <c r="M8" s="8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9" t="str">
        <f>'Маршрут'!A9</f>
        <v>12.07</v>
      </c>
      <c r="B9" s="79" t="str">
        <f>'Маршрут'!B9</f>
        <v>День в Порту (свободный)</v>
      </c>
      <c r="C9" s="81"/>
      <c r="D9" s="81">
        <v>2.0</v>
      </c>
      <c r="E9" s="81">
        <f t="shared" si="1"/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9" t="str">
        <f>'Маршрут'!A10</f>
        <v>13.07</v>
      </c>
      <c r="B10" s="79" t="str">
        <f>'Маршрут'!B10</f>
        <v>Portu → Vila do Conde</v>
      </c>
      <c r="C10" s="81"/>
      <c r="D10" s="81">
        <v>2.0</v>
      </c>
      <c r="E10" s="81">
        <f t="shared" si="1"/>
        <v>0</v>
      </c>
      <c r="F10" s="1"/>
      <c r="G10" s="83"/>
      <c r="H10" s="83"/>
      <c r="I10" s="83"/>
      <c r="J10" s="83"/>
      <c r="K10" s="83"/>
      <c r="L10" s="1"/>
      <c r="M10" s="8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9" t="str">
        <f>'Маршрут'!A11</f>
        <v>14.07</v>
      </c>
      <c r="B11" s="79" t="str">
        <f>'Маршрут'!B11</f>
        <v>Vila do Conde → Esposende</v>
      </c>
      <c r="C11" s="81"/>
      <c r="D11" s="81">
        <v>2.0</v>
      </c>
      <c r="E11" s="81">
        <f t="shared" si="1"/>
        <v>0</v>
      </c>
      <c r="F11" s="1"/>
      <c r="G11" s="83"/>
      <c r="H11" s="1"/>
      <c r="I11" s="1"/>
      <c r="J11" s="1"/>
      <c r="K11" s="1"/>
      <c r="L11" s="1"/>
      <c r="M11" s="8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9" t="str">
        <f>'Маршрут'!A12</f>
        <v>15.07</v>
      </c>
      <c r="B12" s="79" t="str">
        <f>'Маршрут'!B12</f>
        <v>Esposende → Viana do Castelo</v>
      </c>
      <c r="C12" s="81"/>
      <c r="D12" s="81">
        <v>2.0</v>
      </c>
      <c r="E12" s="81">
        <f t="shared" si="1"/>
        <v>0</v>
      </c>
      <c r="F12" s="1"/>
      <c r="G12" s="83"/>
      <c r="H12" s="83"/>
      <c r="I12" s="83"/>
      <c r="J12" s="83"/>
      <c r="K12" s="1"/>
      <c r="L12" s="1"/>
      <c r="M12" s="8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9" t="str">
        <f>'Маршрут'!A13</f>
        <v>16.07</v>
      </c>
      <c r="B13" s="79" t="str">
        <f>'Маршрут'!B13</f>
        <v>Viana do Castelo → Caminha</v>
      </c>
      <c r="C13" s="81"/>
      <c r="D13" s="81">
        <v>2.0</v>
      </c>
      <c r="E13" s="81">
        <f t="shared" si="1"/>
        <v>0</v>
      </c>
      <c r="F13" s="1"/>
      <c r="G13" s="83"/>
      <c r="H13" s="83"/>
      <c r="I13" s="1"/>
      <c r="J13" s="83"/>
      <c r="K13" s="1"/>
      <c r="L13" s="1"/>
      <c r="M13" s="8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9" t="str">
        <f>'Маршрут'!A14</f>
        <v>17.07</v>
      </c>
      <c r="B14" s="79" t="str">
        <f>'Маршрут'!B14</f>
        <v>Caminha → A Guarda → Baiona</v>
      </c>
      <c r="C14" s="81"/>
      <c r="D14" s="81">
        <v>2.0</v>
      </c>
      <c r="E14" s="81">
        <f t="shared" si="1"/>
        <v>0</v>
      </c>
      <c r="F14" s="1"/>
      <c r="G14" s="83"/>
      <c r="H14" s="83"/>
      <c r="I14" s="1"/>
      <c r="J14" s="83"/>
      <c r="K14" s="1"/>
      <c r="L14" s="1"/>
      <c r="M14" s="8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9" t="str">
        <f>'Маршрут'!A16</f>
        <v>18.07</v>
      </c>
      <c r="B15" s="79" t="str">
        <f>'Маршрут'!B16</f>
        <v>Baiona → Vigo</v>
      </c>
      <c r="C15" s="81"/>
      <c r="D15" s="81">
        <v>2.0</v>
      </c>
      <c r="E15" s="81">
        <f t="shared" si="1"/>
        <v>0</v>
      </c>
      <c r="F15" s="1"/>
      <c r="G15" s="83"/>
      <c r="H15" s="83"/>
      <c r="I15" s="83"/>
      <c r="J15" s="1"/>
      <c r="K15" s="1"/>
      <c r="L15" s="1"/>
      <c r="M15" s="8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9" t="str">
        <f>'Маршрут'!A17</f>
        <v>19.07</v>
      </c>
      <c r="B16" s="79" t="str">
        <f>'Маршрут'!B17</f>
        <v>Vigo → Redondela</v>
      </c>
      <c r="C16" s="81"/>
      <c r="D16" s="81">
        <v>2.0</v>
      </c>
      <c r="E16" s="81">
        <f t="shared" si="1"/>
        <v>0</v>
      </c>
      <c r="F16" s="1"/>
      <c r="G16" s="83"/>
      <c r="H16" s="1"/>
      <c r="I16" s="1"/>
      <c r="J16" s="83"/>
      <c r="K16" s="83"/>
      <c r="L16" s="1"/>
      <c r="M16" s="8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9" t="str">
        <f>'Маршрут'!A18</f>
        <v>20.07</v>
      </c>
      <c r="B17" s="79" t="str">
        <f>'Маршрут'!B18</f>
        <v>Redondela → Pontevedra</v>
      </c>
      <c r="C17" s="81"/>
      <c r="D17" s="81">
        <v>2.0</v>
      </c>
      <c r="E17" s="81">
        <f t="shared" si="1"/>
        <v>0</v>
      </c>
      <c r="F17" s="1"/>
      <c r="G17" s="83"/>
      <c r="H17" s="83"/>
      <c r="I17" s="1"/>
      <c r="J17" s="83"/>
      <c r="K17" s="83"/>
      <c r="L17" s="8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9" t="str">
        <f>'Маршрут'!A19</f>
        <v>21.07</v>
      </c>
      <c r="B18" s="79" t="str">
        <f>'Маршрут'!B19</f>
        <v>Pontevedra → Caldas de Reis</v>
      </c>
      <c r="C18" s="81"/>
      <c r="D18" s="81">
        <v>2.0</v>
      </c>
      <c r="E18" s="81">
        <f t="shared" si="1"/>
        <v>0</v>
      </c>
      <c r="F18" s="1"/>
      <c r="G18" s="83"/>
      <c r="H18" s="1"/>
      <c r="I18" s="1"/>
      <c r="J18" s="83"/>
      <c r="K18" s="1"/>
      <c r="L18" s="1"/>
      <c r="M18" s="8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9" t="str">
        <f>'Маршрут'!A20</f>
        <v>22.07</v>
      </c>
      <c r="B19" s="79" t="str">
        <f>'Маршрут'!B20</f>
        <v>Caldas → Padrón</v>
      </c>
      <c r="C19" s="81"/>
      <c r="D19" s="81">
        <v>2.0</v>
      </c>
      <c r="E19" s="81">
        <f t="shared" si="1"/>
        <v>0</v>
      </c>
      <c r="F19" s="1"/>
      <c r="G19" s="83"/>
      <c r="H19" s="83"/>
      <c r="I19" s="1"/>
      <c r="J19" s="83"/>
      <c r="K19" s="1"/>
      <c r="L19" s="1"/>
      <c r="M19" s="8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9" t="str">
        <f>'Маршрут'!A21</f>
        <v>23.07</v>
      </c>
      <c r="B20" s="79" t="str">
        <f>'Маршрут'!B21</f>
        <v>Padrón → Santiago</v>
      </c>
      <c r="C20" s="81"/>
      <c r="D20" s="81">
        <v>2.0</v>
      </c>
      <c r="E20" s="81">
        <f>D20*C20</f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84">
        <f>'Маршрут'!A22</f>
        <v>24.07</v>
      </c>
      <c r="B21" s="81" t="s">
        <v>235</v>
      </c>
      <c r="C21" s="81"/>
      <c r="D21" s="81">
        <v>2.0</v>
      </c>
      <c r="E21" s="81">
        <f>C21*D21</f>
        <v>0</v>
      </c>
      <c r="F21" s="1"/>
      <c r="G21" s="83"/>
      <c r="H21" s="83"/>
      <c r="I21" s="83"/>
      <c r="J21" s="8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85">
        <f>'Маршрут'!A23</f>
        <v>25.07</v>
      </c>
      <c r="B22" s="81" t="s">
        <v>236</v>
      </c>
      <c r="C22" s="81"/>
      <c r="D22" s="81">
        <v>2.0</v>
      </c>
      <c r="E22" s="81">
        <f t="shared" ref="E22:E23" si="2">D22*C22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82"/>
      <c r="B23" s="81" t="s">
        <v>237</v>
      </c>
      <c r="C23" s="81"/>
      <c r="D23" s="81">
        <v>2.0</v>
      </c>
      <c r="E23" s="81">
        <f t="shared" si="2"/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44"/>
      <c r="B24" s="62" t="s">
        <v>238</v>
      </c>
      <c r="C24" s="80">
        <v>789.0</v>
      </c>
      <c r="D24" s="62">
        <v>2.0</v>
      </c>
      <c r="E24" s="81">
        <f>C24*D24/O2</f>
        <v>309.4117647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81" t="s">
        <v>239</v>
      </c>
      <c r="C26" s="81">
        <v>8.0</v>
      </c>
      <c r="D26" s="81">
        <v>28.0</v>
      </c>
      <c r="E26" s="81">
        <f t="shared" ref="E26:E29" si="3">C26*D26</f>
        <v>224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81" t="s">
        <v>240</v>
      </c>
      <c r="C27" s="81">
        <v>8.0</v>
      </c>
      <c r="D27" s="81">
        <v>28.0</v>
      </c>
      <c r="E27" s="81">
        <f t="shared" si="3"/>
        <v>224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81" t="s">
        <v>241</v>
      </c>
      <c r="C28" s="81">
        <v>15.0</v>
      </c>
      <c r="D28" s="81">
        <v>29.0</v>
      </c>
      <c r="E28" s="81">
        <f t="shared" si="3"/>
        <v>435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81" t="s">
        <v>242</v>
      </c>
      <c r="C29" s="81">
        <v>4.0</v>
      </c>
      <c r="D29" s="81">
        <v>29.0</v>
      </c>
      <c r="E29" s="81">
        <f t="shared" si="3"/>
        <v>116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81" t="s">
        <v>243</v>
      </c>
      <c r="C31" s="81"/>
      <c r="D31" s="81"/>
      <c r="E31" s="8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81" t="s">
        <v>244</v>
      </c>
      <c r="C32" s="81"/>
      <c r="D32" s="81"/>
      <c r="E32" s="8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81" t="s">
        <v>245</v>
      </c>
      <c r="C33" s="86"/>
      <c r="D33" s="86"/>
      <c r="E33" s="6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81" t="s">
        <v>246</v>
      </c>
      <c r="C34" s="62"/>
      <c r="D34" s="62"/>
      <c r="E34" s="6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81" t="s">
        <v>247</v>
      </c>
      <c r="C35" s="62"/>
      <c r="D35" s="62"/>
      <c r="E35" s="6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87" t="s">
        <v>248</v>
      </c>
      <c r="C38" s="87"/>
      <c r="D38" s="87"/>
      <c r="E38" s="87">
        <f>SUM(E26:E29)</f>
        <v>999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87" t="s">
        <v>249</v>
      </c>
      <c r="C39" s="87">
        <v>10.0</v>
      </c>
      <c r="D39" s="87">
        <v>5.0</v>
      </c>
      <c r="E39" s="87">
        <f>C39*D39</f>
        <v>50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87" t="s">
        <v>250</v>
      </c>
      <c r="C40" s="87"/>
      <c r="D40" s="87"/>
      <c r="E40" s="87">
        <f>E6+E7+E20+E22+E23+E24</f>
        <v>454.1176471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87" t="s">
        <v>251</v>
      </c>
      <c r="C41" s="87"/>
      <c r="D41" s="87"/>
      <c r="E41" s="87">
        <f>SUM(E31:E35)</f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87" t="s">
        <v>252</v>
      </c>
      <c r="C42" s="87"/>
      <c r="D42" s="87"/>
      <c r="E42" s="87" t="str">
        <f>E9+E10+E11+E12+E13+E14+E15+E16+E17+E18+E19+E21+#REF!</f>
        <v>#REF!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J1:L3"/>
    <mergeCell ref="A6:A8"/>
    <mergeCell ref="A22:A24"/>
  </mergeCells>
  <hyperlinks>
    <hyperlink r:id="rId1" ref="G8"/>
    <hyperlink r:id="rId2" ref="H8"/>
    <hyperlink r:id="rId3" ref="J8"/>
    <hyperlink r:id="rId4" ref="K8"/>
    <hyperlink r:id="rId5" ref="L8"/>
    <hyperlink r:id="rId6" ref="M8"/>
    <hyperlink r:id="rId7" ref="G10"/>
    <hyperlink r:id="rId8" ref="H10"/>
    <hyperlink r:id="rId9" ref="I10"/>
    <hyperlink r:id="rId10" ref="J10"/>
    <hyperlink r:id="rId11" ref="K10"/>
    <hyperlink r:id="rId12" ref="M10"/>
    <hyperlink r:id="rId13" ref="G11"/>
    <hyperlink r:id="rId14" ref="M11"/>
    <hyperlink r:id="rId15" ref="G12"/>
    <hyperlink r:id="rId16" ref="H12"/>
    <hyperlink r:id="rId17" ref="I12"/>
    <hyperlink r:id="rId18" ref="J12"/>
    <hyperlink r:id="rId19" ref="M12"/>
    <hyperlink r:id="rId20" ref="G13"/>
    <hyperlink r:id="rId21" ref="H13"/>
    <hyperlink r:id="rId22" ref="J13"/>
    <hyperlink r:id="rId23" ref="M13"/>
    <hyperlink r:id="rId24" ref="G14"/>
    <hyperlink r:id="rId25" ref="H14"/>
    <hyperlink r:id="rId26" ref="J14"/>
    <hyperlink r:id="rId27" ref="M14"/>
    <hyperlink r:id="rId28" ref="G15"/>
    <hyperlink r:id="rId29" ref="H15"/>
    <hyperlink r:id="rId30" ref="I15"/>
    <hyperlink r:id="rId31" ref="M15"/>
    <hyperlink r:id="rId32" ref="G16"/>
    <hyperlink r:id="rId33" ref="J16"/>
    <hyperlink r:id="rId34" ref="K16"/>
    <hyperlink r:id="rId35" ref="M16"/>
    <hyperlink r:id="rId36" ref="G17"/>
    <hyperlink r:id="rId37" ref="H17"/>
    <hyperlink r:id="rId38" ref="J17"/>
    <hyperlink r:id="rId39" ref="K17"/>
    <hyperlink r:id="rId40" ref="L17"/>
    <hyperlink r:id="rId41" ref="G18"/>
    <hyperlink r:id="rId42" ref="J18"/>
    <hyperlink r:id="rId43" ref="M18"/>
    <hyperlink r:id="rId44" ref="G19"/>
    <hyperlink r:id="rId45" ref="H19"/>
    <hyperlink r:id="rId46" ref="J19"/>
    <hyperlink r:id="rId47" ref="M19"/>
    <hyperlink r:id="rId48" ref="G21"/>
    <hyperlink r:id="rId49" ref="H21"/>
    <hyperlink r:id="rId50" ref="I21"/>
    <hyperlink r:id="rId51" ref="J21"/>
  </hyperlinks>
  <printOptions/>
  <pageMargins bottom="0.75" footer="0.0" header="0.0" left="0.7" right="0.7" top="0.75"/>
  <pageSetup orientation="portrait"/>
  <drawing r:id="rId5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2" max="2" width="21.14"/>
    <col customWidth="1" min="3" max="3" width="43.71"/>
    <col customWidth="1" min="4" max="26" width="8.71"/>
  </cols>
  <sheetData>
    <row r="1" ht="14.25" customHeight="1">
      <c r="A1" s="88" t="s">
        <v>253</v>
      </c>
      <c r="B1" s="89"/>
      <c r="C1" s="89"/>
      <c r="D1" s="90"/>
    </row>
    <row r="2" ht="14.25" customHeight="1">
      <c r="A2" s="91" t="s">
        <v>254</v>
      </c>
      <c r="B2" s="91" t="s">
        <v>255</v>
      </c>
      <c r="C2" s="91" t="s">
        <v>256</v>
      </c>
      <c r="D2" s="91" t="s">
        <v>257</v>
      </c>
    </row>
    <row r="3">
      <c r="A3" s="92" t="s">
        <v>258</v>
      </c>
      <c r="B3" s="92" t="s">
        <v>259</v>
      </c>
      <c r="C3" s="92" t="s">
        <v>260</v>
      </c>
      <c r="D3" s="92" t="s">
        <v>257</v>
      </c>
    </row>
    <row r="4">
      <c r="A4" s="92" t="s">
        <v>261</v>
      </c>
      <c r="B4" s="92" t="s">
        <v>259</v>
      </c>
      <c r="C4" s="92" t="s">
        <v>262</v>
      </c>
      <c r="D4" s="92" t="s">
        <v>257</v>
      </c>
    </row>
    <row r="5">
      <c r="A5" s="92" t="s">
        <v>263</v>
      </c>
      <c r="B5" s="92" t="s">
        <v>259</v>
      </c>
      <c r="C5" s="92" t="s">
        <v>264</v>
      </c>
      <c r="D5" s="92" t="s">
        <v>257</v>
      </c>
    </row>
    <row r="6">
      <c r="A6" s="93" t="s">
        <v>265</v>
      </c>
      <c r="B6" s="93" t="s">
        <v>266</v>
      </c>
      <c r="C6" s="93" t="s">
        <v>267</v>
      </c>
      <c r="D6" s="93" t="s">
        <v>257</v>
      </c>
    </row>
    <row r="7">
      <c r="A7" s="93" t="s">
        <v>268</v>
      </c>
      <c r="B7" s="93" t="s">
        <v>269</v>
      </c>
      <c r="C7" s="93" t="s">
        <v>270</v>
      </c>
      <c r="D7" s="93" t="s">
        <v>257</v>
      </c>
    </row>
    <row r="8">
      <c r="A8" s="94" t="s">
        <v>271</v>
      </c>
      <c r="B8" s="94" t="s">
        <v>272</v>
      </c>
      <c r="C8" s="94" t="s">
        <v>273</v>
      </c>
      <c r="D8" s="94" t="s">
        <v>257</v>
      </c>
    </row>
    <row r="9">
      <c r="A9" s="94" t="s">
        <v>274</v>
      </c>
      <c r="B9" s="94" t="s">
        <v>275</v>
      </c>
      <c r="C9" s="94" t="s">
        <v>276</v>
      </c>
      <c r="D9" s="94" t="s">
        <v>257</v>
      </c>
    </row>
    <row r="10">
      <c r="A10" s="94" t="s">
        <v>277</v>
      </c>
      <c r="B10" s="94" t="s">
        <v>275</v>
      </c>
      <c r="C10" s="94" t="s">
        <v>278</v>
      </c>
      <c r="D10" s="94" t="s">
        <v>257</v>
      </c>
    </row>
    <row r="11">
      <c r="A11" s="94" t="s">
        <v>279</v>
      </c>
      <c r="B11" s="94" t="s">
        <v>280</v>
      </c>
      <c r="C11" s="94" t="s">
        <v>281</v>
      </c>
      <c r="D11" s="94" t="s">
        <v>257</v>
      </c>
    </row>
    <row r="12">
      <c r="A12" s="94" t="s">
        <v>282</v>
      </c>
      <c r="B12" s="94" t="s">
        <v>283</v>
      </c>
      <c r="C12" s="94" t="s">
        <v>284</v>
      </c>
      <c r="D12" s="94" t="s">
        <v>257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29"/>
    <col customWidth="1" min="2" max="2" width="30.29"/>
    <col customWidth="1" min="3" max="26" width="8.71"/>
  </cols>
  <sheetData>
    <row r="1" ht="14.25" customHeight="1">
      <c r="A1" s="64" t="s">
        <v>285</v>
      </c>
    </row>
    <row r="2" ht="14.25" customHeight="1">
      <c r="A2" s="1" t="s">
        <v>286</v>
      </c>
    </row>
    <row r="3" ht="14.25" customHeight="1">
      <c r="A3" s="95" t="s">
        <v>287</v>
      </c>
    </row>
    <row r="4" ht="14.25" customHeight="1">
      <c r="A4" s="95" t="s">
        <v>288</v>
      </c>
    </row>
    <row r="5" ht="14.25" customHeight="1">
      <c r="A5" s="95" t="s">
        <v>289</v>
      </c>
    </row>
    <row r="6" ht="14.25" customHeight="1">
      <c r="A6" s="1" t="s">
        <v>290</v>
      </c>
    </row>
    <row r="7" ht="14.25" customHeight="1">
      <c r="A7" s="1" t="s">
        <v>291</v>
      </c>
    </row>
    <row r="8" ht="14.25" customHeight="1">
      <c r="A8" s="95" t="s">
        <v>292</v>
      </c>
      <c r="B8" s="1" t="s">
        <v>293</v>
      </c>
    </row>
    <row r="9" ht="14.25" customHeight="1">
      <c r="A9" s="1" t="s">
        <v>294</v>
      </c>
    </row>
    <row r="10" ht="14.25" customHeight="1">
      <c r="A10" s="95" t="s">
        <v>295</v>
      </c>
      <c r="B10" s="1" t="s">
        <v>296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"/>
    <hyperlink r:id="rId2" ref="A3"/>
    <hyperlink r:id="rId3" ref="A4"/>
    <hyperlink r:id="rId4" ref="A5"/>
    <hyperlink r:id="rId5" ref="A8"/>
    <hyperlink r:id="rId6" ref="A10"/>
  </hyperlinks>
  <printOptions/>
  <pageMargins bottom="0.75" footer="0.0" header="0.0" left="0.7" right="0.7" top="0.75"/>
  <pageSetup orientation="landscape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96" t="s">
        <v>297</v>
      </c>
    </row>
    <row r="3">
      <c r="A3" s="66" t="s">
        <v>298</v>
      </c>
    </row>
    <row r="5">
      <c r="A5" s="64" t="s">
        <v>299</v>
      </c>
    </row>
    <row r="7">
      <c r="A7" s="64" t="s">
        <v>300</v>
      </c>
    </row>
  </sheetData>
  <hyperlinks>
    <hyperlink r:id="rId1" ref="A1"/>
    <hyperlink r:id="rId2" ref="A3"/>
    <hyperlink r:id="rId3" ref="A5"/>
    <hyperlink r:id="rId4" ref="A7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Mykola Koltun</dc:creator>
</cp:coreProperties>
</file>